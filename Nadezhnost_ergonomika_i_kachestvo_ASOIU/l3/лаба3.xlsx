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<sst xmlns="http://schemas.openxmlformats.org/spreadsheetml/2006/main" count="25" uniqueCount="23">
  <si>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Введите исходные данные</t>
  </si>
  <si>
    <t xml:space="preserve">n =</t>
  </si>
  <si>
    <t xml:space="preserve">λ=</t>
  </si>
  <si>
    <t xml:space="preserve">T =</t>
  </si>
  <si>
    <t xml:space="preserve">r=</t>
  </si>
  <si>
    <t xml:space="preserve">R =</t>
  </si>
  <si>
    <t xml:space="preserve">λ*r=</t>
  </si>
  <si>
    <t xml:space="preserve">Σλ=</t>
  </si>
  <si>
    <t xml:space="preserve">T1=</t>
  </si>
  <si>
    <r>
      <rPr>
        <sz val="11"/>
        <color theme="1"/>
        <rFont val="Aptos Narrow"/>
        <family val="2"/>
        <charset val="204"/>
      </rPr>
      <t xml:space="preserve">P</t>
    </r>
    <r>
      <rPr>
        <vertAlign val="subscript"/>
        <sz val="11"/>
        <color theme="1"/>
        <rFont val="Aptos Narrow"/>
        <family val="2"/>
        <charset val="1"/>
      </rPr>
      <t xml:space="preserve">c</t>
    </r>
    <r>
      <rPr>
        <sz val="11"/>
        <color theme="1"/>
        <rFont val="Aptos Narrow"/>
        <family val="2"/>
        <charset val="204"/>
      </rPr>
      <t xml:space="preserve">(T)=</t>
    </r>
  </si>
  <si>
    <r>
      <rPr>
        <sz val="11"/>
        <color theme="1"/>
        <rFont val="Aptos Narrow"/>
        <family val="2"/>
        <charset val="204"/>
      </rPr>
      <t xml:space="preserve">P</t>
    </r>
    <r>
      <rPr>
        <vertAlign val="subscript"/>
        <sz val="11"/>
        <color theme="1"/>
        <rFont val="Aptos Narrow"/>
        <family val="2"/>
        <charset val="1"/>
      </rPr>
      <t xml:space="preserve">c</t>
    </r>
    <r>
      <rPr>
        <sz val="11"/>
        <color theme="1"/>
        <rFont val="Aptos Narrow"/>
        <family val="2"/>
        <charset val="204"/>
      </rPr>
      <t xml:space="preserve">(T1)=</t>
    </r>
  </si>
  <si>
    <t xml:space="preserve">Σλ*r=</t>
  </si>
  <si>
    <t xml:space="preserve">Rc(T)=</t>
  </si>
  <si>
    <t xml:space="preserve">Rc(T1)=</t>
  </si>
  <si>
    <t xml:space="preserve">№</t>
  </si>
  <si>
    <t xml:space="preserve">вермя t</t>
  </si>
  <si>
    <t xml:space="preserve">Rc(t) при n</t>
  </si>
  <si>
    <t xml:space="preserve">Rc(t) при 3n</t>
  </si>
  <si>
    <t xml:space="preserve">Rc(t) при 5n</t>
  </si>
  <si>
    <t xml:space="preserve">Исследование зависимости Gr(t, n)</t>
  </si>
  <si>
    <t xml:space="preserve">Gr(t, n) при n</t>
  </si>
  <si>
    <t xml:space="preserve">Gr(t, n) при 3n</t>
  </si>
  <si>
    <t xml:space="preserve">Gr(t, n) при 5n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</si>
</sst>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1"/>
      <color theme="1"/>
      <name val="Aptos Narrow"/>
      <family val="2"/>
      <charset val="1"/>
    </font>
    <font>
      <sz val="11"/>
      <name val="Aptos Narrow"/>
      <family val="2"/>
      <charset val="204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6"/>
      <color rgb="FF595959"/>
      <name val="Aptos Narrow"/>
      <family val="2"/>
    </font>
    <font>
      <sz val="8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Aptos Narrow"/>
              </a:rPr>
              <a:t> Rc(t)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Лист1!$D$19:$L$19</c:f>
              <c:strCache>
                <c:ptCount val="9"/>
                <c:pt idx="0">
                  <c:v>0</c:v>
                </c:pt>
                <c:pt idx="1">
                  <c:v>1500</c:v>
                </c:pt>
                <c:pt idx="2">
                  <c:v>3000</c:v>
                </c:pt>
                <c:pt idx="3">
                  <c:v>4500</c:v>
                </c:pt>
                <c:pt idx="4">
                  <c:v>6000</c:v>
                </c:pt>
                <c:pt idx="5">
                  <c:v>7500</c:v>
                </c:pt>
                <c:pt idx="6">
                  <c:v>9000</c:v>
                </c:pt>
                <c:pt idx="7">
                  <c:v>10500</c:v>
                </c:pt>
                <c:pt idx="8">
                  <c:v>12000</c:v>
                </c:pt>
              </c:strCache>
            </c:strRef>
          </c:cat>
          <c:val>
            <c:numRef>
              <c:f>Лист1!$D$20:$L$20</c:f>
              <c:numCache>
                <c:formatCode>General</c:formatCode>
                <c:ptCount val="9"/>
                <c:pt idx="0">
                  <c:v>0</c:v>
                </c:pt>
                <c:pt idx="1">
                  <c:v>1093.21719187333</c:v>
                </c:pt>
                <c:pt idx="2">
                  <c:v>1897.0410635665</c:v>
                </c:pt>
                <c:pt idx="3">
                  <c:v>2488.07898494843</c:v>
                </c:pt>
                <c:pt idx="4">
                  <c:v>2922.65904261163</c:v>
                </c:pt>
                <c:pt idx="5">
                  <c:v>3242.19831358932</c:v>
                </c:pt>
                <c:pt idx="6">
                  <c:v>3477.15006504792</c:v>
                </c:pt>
                <c:pt idx="7">
                  <c:v>3649.90606259579</c:v>
                </c:pt>
                <c:pt idx="8">
                  <c:v>3776.93058785886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Лист1!$D$19:$L$19</c:f>
              <c:strCache>
                <c:ptCount val="9"/>
                <c:pt idx="0">
                  <c:v>0</c:v>
                </c:pt>
                <c:pt idx="1">
                  <c:v>1500</c:v>
                </c:pt>
                <c:pt idx="2">
                  <c:v>3000</c:v>
                </c:pt>
                <c:pt idx="3">
                  <c:v>4500</c:v>
                </c:pt>
                <c:pt idx="4">
                  <c:v>6000</c:v>
                </c:pt>
                <c:pt idx="5">
                  <c:v>7500</c:v>
                </c:pt>
                <c:pt idx="6">
                  <c:v>9000</c:v>
                </c:pt>
                <c:pt idx="7">
                  <c:v>10500</c:v>
                </c:pt>
                <c:pt idx="8">
                  <c:v>12000</c:v>
                </c:pt>
              </c:strCache>
            </c:strRef>
          </c:cat>
          <c:val>
            <c:numRef>
              <c:f>Лист1!$D$21:$L$21</c:f>
              <c:numCache>
                <c:formatCode>General</c:formatCode>
                <c:ptCount val="9"/>
                <c:pt idx="0">
                  <c:v>0</c:v>
                </c:pt>
                <c:pt idx="1">
                  <c:v>829.359661649478</c:v>
                </c:pt>
                <c:pt idx="2">
                  <c:v>1159.05002168264</c:v>
                </c:pt>
                <c:pt idx="3">
                  <c:v>1290.10984834773</c:v>
                </c:pt>
                <c:pt idx="4">
                  <c:v>1342.20927328619</c:v>
                </c:pt>
                <c:pt idx="5">
                  <c:v>1362.92004445069</c:v>
                </c:pt>
                <c:pt idx="6">
                  <c:v>1371.15307279475</c:v>
                </c:pt>
                <c:pt idx="7">
                  <c:v>1374.42589905389</c:v>
                </c:pt>
                <c:pt idx="8">
                  <c:v>1375.72692599986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Лист1!$D$19:$L$19</c:f>
              <c:strCache>
                <c:ptCount val="9"/>
                <c:pt idx="0">
                  <c:v>0</c:v>
                </c:pt>
                <c:pt idx="1">
                  <c:v>1500</c:v>
                </c:pt>
                <c:pt idx="2">
                  <c:v>3000</c:v>
                </c:pt>
                <c:pt idx="3">
                  <c:v>4500</c:v>
                </c:pt>
                <c:pt idx="4">
                  <c:v>6000</c:v>
                </c:pt>
                <c:pt idx="5">
                  <c:v>7500</c:v>
                </c:pt>
                <c:pt idx="6">
                  <c:v>9000</c:v>
                </c:pt>
                <c:pt idx="7">
                  <c:v>10500</c:v>
                </c:pt>
                <c:pt idx="8">
                  <c:v>12000</c:v>
                </c:pt>
              </c:strCache>
            </c:strRef>
          </c:cat>
          <c:val>
            <c:numRef>
              <c:f>Лист1!$D$22:$L$22</c:f>
              <c:numCache>
                <c:formatCode>General</c:formatCode>
                <c:ptCount val="9"/>
                <c:pt idx="0">
                  <c:v>0</c:v>
                </c:pt>
                <c:pt idx="1">
                  <c:v>648.439662717863</c:v>
                </c:pt>
                <c:pt idx="2">
                  <c:v>787.800839621531</c:v>
                </c:pt>
                <c:pt idx="3">
                  <c:v>817.752026670411</c:v>
                </c:pt>
                <c:pt idx="4">
                  <c:v>824.189067642425</c:v>
                </c:pt>
                <c:pt idx="5">
                  <c:v>825.572501841803</c:v>
                </c:pt>
                <c:pt idx="6">
                  <c:v>825.869826372178</c:v>
                </c:pt>
                <c:pt idx="7">
                  <c:v>825.933726683738</c:v>
                </c:pt>
                <c:pt idx="8">
                  <c:v>825.947459993305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167552"/>
        <c:axId val="34090081"/>
      </c:lineChart>
      <c:catAx>
        <c:axId val="30167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090081"/>
        <c:crosses val="autoZero"/>
        <c:auto val="1"/>
        <c:lblAlgn val="ctr"/>
        <c:lblOffset val="100"/>
        <c:noMultiLvlLbl val="0"/>
      </c:catAx>
      <c:valAx>
        <c:axId val="340900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0167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600" spc="114" strike="noStrike">
                <a:solidFill>
                  <a:srgbClr val="595959"/>
                </a:solidFill>
                <a:latin typeface="Aptos Narrow"/>
              </a:defRPr>
            </a:pPr>
            <a:r>
              <a:rPr b="1" lang="ru-RU" sz="1600" spc="114" strike="noStrike">
                <a:solidFill>
                  <a:srgbClr val="595959"/>
                </a:solidFill>
                <a:latin typeface="Aptos Narrow"/>
              </a:rPr>
              <a:t>График функции Gr(t, 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Лист1!$C$48</c:f>
              <c:strCache>
                <c:ptCount val="1"/>
                <c:pt idx="0">
                  <c:v>Gr(t, n) при n</c:v>
                </c:pt>
              </c:strCache>
            </c:strRef>
          </c:tx>
          <c:spPr>
            <a:solidFill>
              <a:srgbClr val="156082"/>
            </a:solidFill>
            <a:ln cap="rnd" w="22320">
              <a:solidFill>
                <a:srgbClr val="156082"/>
              </a:solidFill>
              <a:round/>
            </a:ln>
          </c:spPr>
          <c:marker>
            <c:symbol val="diamond"/>
            <c:size val="6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Лист1!$D$48:$M$48</c:f>
              <c:numCache>
                <c:formatCode>General</c:formatCode>
                <c:ptCount val="10"/>
                <c:pt idx="0">
                  <c:v>0.915793449973493</c:v>
                </c:pt>
                <c:pt idx="1">
                  <c:v>0.841566656791846</c:v>
                </c:pt>
                <c:pt idx="2">
                  <c:v>0.776003127455694</c:v>
                </c:pt>
                <c:pt idx="3">
                  <c:v>0.717970794122242</c:v>
                </c:pt>
                <c:pt idx="4">
                  <c:v>0.666495183804659</c:v>
                </c:pt>
                <c:pt idx="5">
                  <c:v>0.620736593322304</c:v>
                </c:pt>
                <c:pt idx="6">
                  <c:v>0.579970660358997</c:v>
                </c:pt>
                <c:pt idx="7">
                  <c:v>0.543571815433068</c:v>
                </c:pt>
                <c:pt idx="8">
                  <c:v>0.510999178882689</c:v>
                </c:pt>
                <c:pt idx="9">
                  <c:v>0.481784533926339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Лист1!$C$49</c:f>
              <c:strCache>
                <c:ptCount val="1"/>
                <c:pt idx="0">
                  <c:v>Gr(t, n) при 3n</c:v>
                </c:pt>
              </c:strCache>
            </c:strRef>
          </c:tx>
          <c:spPr>
            <a:solidFill>
              <a:srgbClr val="e97132"/>
            </a:solidFill>
            <a:ln cap="rnd" w="22320">
              <a:solidFill>
                <a:srgbClr val="e97132"/>
              </a:solidFill>
              <a:round/>
            </a:ln>
          </c:spPr>
          <c:marker>
            <c:symbol val="square"/>
            <c:size val="6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Лист1!$D$49:$M$49</c:f>
              <c:numCache>
                <c:formatCode>General</c:formatCode>
                <c:ptCount val="10"/>
                <c:pt idx="0">
                  <c:v>0.756536226176554</c:v>
                </c:pt>
                <c:pt idx="1">
                  <c:v>0.590241724702019</c:v>
                </c:pt>
                <c:pt idx="2">
                  <c:v>0.474120702486201</c:v>
                </c:pt>
                <c:pt idx="3">
                  <c:v>0.391153287957315</c:v>
                </c:pt>
                <c:pt idx="4">
                  <c:v>0.330477497730897</c:v>
                </c:pt>
                <c:pt idx="5">
                  <c:v>0.285068630886476</c:v>
                </c:pt>
                <c:pt idx="6">
                  <c:v>0.250318099719459</c:v>
                </c:pt>
                <c:pt idx="7">
                  <c:v>0.22315585301439</c:v>
                </c:pt>
                <c:pt idx="8">
                  <c:v>0.201503553546211</c:v>
                </c:pt>
                <c:pt idx="9">
                  <c:v>0.183930492715264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Лист1!$C$50</c:f>
              <c:strCache>
                <c:ptCount val="1"/>
                <c:pt idx="0">
                  <c:v>Gr(t, n) при 5n</c:v>
                </c:pt>
              </c:strCache>
            </c:strRef>
          </c:tx>
          <c:spPr>
            <a:solidFill>
              <a:srgbClr val="196b24"/>
            </a:solidFill>
            <a:ln cap="rnd" w="22320">
              <a:solidFill>
                <a:srgbClr val="196b24"/>
              </a:solidFill>
              <a:round/>
            </a:ln>
          </c:spPr>
          <c:marker>
            <c:symbol val="triangle"/>
            <c:size val="6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Лист1!$D$50:$M$50</c:f>
              <c:numCache>
                <c:formatCode>General</c:formatCode>
                <c:ptCount val="10"/>
                <c:pt idx="0">
                  <c:v>0.633613698719864</c:v>
                </c:pt>
                <c:pt idx="1">
                  <c:v>0.435991199437019</c:v>
                </c:pt>
                <c:pt idx="2">
                  <c:v>0.322257607966165</c:v>
                </c:pt>
                <c:pt idx="3">
                  <c:v>0.252363130577006</c:v>
                </c:pt>
                <c:pt idx="4">
                  <c:v>0.206652653277768</c:v>
                </c:pt>
                <c:pt idx="5">
                  <c:v>0.175047553150328</c:v>
                </c:pt>
                <c:pt idx="6">
                  <c:v>0.152129777588204</c:v>
                </c:pt>
                <c:pt idx="7">
                  <c:v>0.134840959282932</c:v>
                </c:pt>
                <c:pt idx="8">
                  <c:v>0.121369165910404</c:v>
                </c:pt>
                <c:pt idx="9">
                  <c:v>0.110590336101642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112389"/>
        <c:axId val="61074236"/>
      </c:lineChart>
      <c:catAx>
        <c:axId val="3211238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114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1074236"/>
        <c:crosses val="autoZero"/>
        <c:auto val="1"/>
        <c:lblAlgn val="ctr"/>
        <c:lblOffset val="100"/>
        <c:noMultiLvlLbl val="0"/>
      </c:catAx>
      <c:valAx>
        <c:axId val="610742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211238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18000</xdr:colOff>
      <xdr:row>4</xdr:row>
      <xdr:rowOff>127440</xdr:rowOff>
    </xdr:from>
    <xdr:to>
      <xdr:col>21</xdr:col>
      <xdr:colOff>399600</xdr:colOff>
      <xdr:row>19</xdr:row>
      <xdr:rowOff>91440</xdr:rowOff>
    </xdr:to>
    <xdr:graphicFrame>
      <xdr:nvGraphicFramePr>
        <xdr:cNvPr id="0" name="Диаграмма 4"/>
        <xdr:cNvGraphicFramePr/>
      </xdr:nvGraphicFramePr>
      <xdr:xfrm>
        <a:off x="11010960" y="851400"/>
        <a:ext cx="5195520" cy="273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236160</xdr:colOff>
      <xdr:row>39</xdr:row>
      <xdr:rowOff>3960</xdr:rowOff>
    </xdr:from>
    <xdr:to>
      <xdr:col>20</xdr:col>
      <xdr:colOff>540360</xdr:colOff>
      <xdr:row>54</xdr:row>
      <xdr:rowOff>3240</xdr:rowOff>
    </xdr:to>
    <xdr:graphicFrame>
      <xdr:nvGraphicFramePr>
        <xdr:cNvPr id="1" name="Диаграмма 2"/>
        <xdr:cNvGraphicFramePr/>
      </xdr:nvGraphicFramePr>
      <xdr:xfrm>
        <a:off x="10541520" y="7116480"/>
        <a:ext cx="511812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11"/>
    <col collapsed="false" customWidth="true" hidden="false" outlineLevel="0" max="3" min="3" style="1" width="14.2"/>
    <col collapsed="false" customWidth="true" hidden="false" outlineLevel="0" max="6" min="6" style="1" width="17.64"/>
  </cols>
  <sheetData>
    <row r="1" customFormat="false" ht="14.25" hidden="false" customHeight="false" outlineLevel="0" collapsed="false">
      <c r="A1" s="2"/>
      <c r="B1" s="3"/>
      <c r="C1" s="3"/>
      <c r="D1" s="3"/>
      <c r="E1" s="3"/>
      <c r="F1" s="3" t="s">
        <v>0</v>
      </c>
      <c r="G1" s="3"/>
      <c r="H1" s="3"/>
      <c r="I1" s="3"/>
      <c r="J1" s="3"/>
      <c r="K1" s="3"/>
      <c r="L1" s="4"/>
    </row>
    <row r="2" customFormat="false" ht="14.25" hidden="false" customHeight="false" outlineLevel="0" collapsed="false">
      <c r="A2" s="5" t="s">
        <v>1</v>
      </c>
      <c r="B2" s="6" t="n">
        <v>8</v>
      </c>
      <c r="C2" s="6"/>
      <c r="D2" s="7" t="s">
        <v>2</v>
      </c>
      <c r="E2" s="6" t="n">
        <v>2</v>
      </c>
      <c r="F2" s="8" t="n">
        <v>0.5</v>
      </c>
      <c r="G2" s="6" t="n">
        <v>1</v>
      </c>
      <c r="H2" s="6" t="n">
        <v>4</v>
      </c>
      <c r="I2" s="6" t="n">
        <v>3</v>
      </c>
      <c r="J2" s="6" t="n">
        <v>2</v>
      </c>
      <c r="K2" s="6" t="n">
        <v>4</v>
      </c>
      <c r="L2" s="9" t="n">
        <v>4</v>
      </c>
    </row>
    <row r="3" customFormat="false" ht="14.25" hidden="false" customHeight="false" outlineLevel="0" collapsed="false">
      <c r="A3" s="5" t="s">
        <v>3</v>
      </c>
      <c r="B3" s="6" t="n">
        <v>1540</v>
      </c>
      <c r="C3" s="6"/>
      <c r="D3" s="7" t="s">
        <v>4</v>
      </c>
      <c r="E3" s="6" t="n">
        <v>3500</v>
      </c>
      <c r="F3" s="6" t="n">
        <v>4000</v>
      </c>
      <c r="G3" s="6" t="n">
        <v>3400</v>
      </c>
      <c r="H3" s="6" t="n">
        <v>4850</v>
      </c>
      <c r="I3" s="6" t="n">
        <v>4180</v>
      </c>
      <c r="J3" s="6" t="n">
        <v>4400</v>
      </c>
      <c r="K3" s="6" t="n">
        <v>6480</v>
      </c>
      <c r="L3" s="9" t="n">
        <v>1400</v>
      </c>
    </row>
    <row r="4" customFormat="false" ht="14.25" hidden="false" customHeight="false" outlineLevel="0" collapsed="false">
      <c r="A4" s="10" t="s">
        <v>5</v>
      </c>
      <c r="B4" s="11" t="n">
        <v>5070</v>
      </c>
      <c r="C4" s="11"/>
      <c r="D4" s="12"/>
      <c r="E4" s="11"/>
      <c r="F4" s="11"/>
      <c r="G4" s="11"/>
      <c r="H4" s="11"/>
      <c r="I4" s="11"/>
      <c r="J4" s="11"/>
      <c r="K4" s="11"/>
      <c r="L4" s="13"/>
    </row>
    <row r="5" customFormat="false" ht="14.25" hidden="false" customHeight="false" outlineLevel="0" collapsed="false">
      <c r="D5" s="14" t="s">
        <v>6</v>
      </c>
      <c r="E5" s="1" t="n">
        <f aca="false">E2*E3</f>
        <v>7000</v>
      </c>
      <c r="F5" s="1" t="n">
        <f aca="false">F2*F3</f>
        <v>2000</v>
      </c>
      <c r="G5" s="1" t="n">
        <f aca="false">G2*G3</f>
        <v>3400</v>
      </c>
      <c r="H5" s="1" t="n">
        <f aca="false">H2*H3</f>
        <v>19400</v>
      </c>
      <c r="I5" s="1" t="n">
        <f aca="false">I2*I3</f>
        <v>12540</v>
      </c>
      <c r="J5" s="1" t="n">
        <f aca="false">J2*J3</f>
        <v>8800</v>
      </c>
      <c r="K5" s="1" t="n">
        <f aca="false">K2*K3</f>
        <v>25920</v>
      </c>
      <c r="L5" s="1" t="n">
        <f aca="false">L2*L3</f>
        <v>5600</v>
      </c>
    </row>
    <row r="8" customFormat="false" ht="16.4" hidden="false" customHeight="false" outlineLevel="0" collapsed="false">
      <c r="B8" s="14" t="s">
        <v>7</v>
      </c>
      <c r="C8" s="1" t="n">
        <f aca="false">SUM(E2:L2)*0.00001</f>
        <v>0.000205</v>
      </c>
      <c r="G8" s="15" t="s">
        <v>8</v>
      </c>
      <c r="H8" s="1" t="n">
        <f aca="false">1/C8</f>
        <v>4878.0487804878</v>
      </c>
      <c r="J8" s="14" t="s">
        <v>9</v>
      </c>
      <c r="K8" s="1" t="n">
        <f aca="false">EXP(-C8*B3)</f>
        <v>0.72927820081363</v>
      </c>
    </row>
    <row r="9" customFormat="false" ht="16.4" hidden="false" customHeight="false" outlineLevel="0" collapsed="false">
      <c r="B9" s="14"/>
      <c r="J9" s="14" t="s">
        <v>10</v>
      </c>
      <c r="K9" s="1" t="n">
        <f aca="false">EXP(-C8*H8)</f>
        <v>0.367879441171442</v>
      </c>
    </row>
    <row r="10" customFormat="false" ht="14.25" hidden="false" customHeight="false" outlineLevel="0" collapsed="false">
      <c r="B10" s="14" t="s">
        <v>11</v>
      </c>
      <c r="C10" s="1" t="n">
        <f aca="false">SUM(E5:L5)*0.00001</f>
        <v>0.8466</v>
      </c>
      <c r="J10" s="14" t="s">
        <v>12</v>
      </c>
      <c r="K10" s="1" t="n">
        <f aca="false">(1-EXP(-C8*B3))/C8*C10</f>
        <v>1118.01500093259</v>
      </c>
    </row>
    <row r="11" customFormat="false" ht="14.25" hidden="false" customHeight="false" outlineLevel="0" collapsed="false">
      <c r="B11" s="14"/>
      <c r="C11" s="1" t="n">
        <f aca="false">C10/C8</f>
        <v>4129.75609756098</v>
      </c>
      <c r="J11" s="14" t="s">
        <v>13</v>
      </c>
      <c r="K11" s="1" t="n">
        <f aca="false">(1-EXP(-C8*H8))/C8*C10</f>
        <v>2610.50373221589</v>
      </c>
    </row>
    <row r="14" customFormat="false" ht="14.25" hidden="false" customHeight="false" outlineLevel="0" collapsed="false">
      <c r="F14" s="1" t="n">
        <f aca="false">C8/B2</f>
        <v>2.5625E-005</v>
      </c>
    </row>
    <row r="16" customFormat="false" ht="14.25" hidden="false" customHeight="false" outlineLevel="0" collapsed="false">
      <c r="C16" s="16" t="e">
        <f aca="false">-LN(1-B4*C8/C10)/C8</f>
        <v>#VALUE!</v>
      </c>
    </row>
    <row r="18" customFormat="false" ht="14.25" hidden="false" customHeight="false" outlineLevel="0" collapsed="false">
      <c r="C18" s="1" t="s">
        <v>14</v>
      </c>
      <c r="D18" s="1" t="n">
        <v>1</v>
      </c>
      <c r="E18" s="1" t="n">
        <v>2</v>
      </c>
      <c r="F18" s="1" t="n">
        <v>3</v>
      </c>
      <c r="G18" s="1" t="n">
        <v>4</v>
      </c>
      <c r="H18" s="1" t="n">
        <v>5</v>
      </c>
      <c r="I18" s="1" t="n">
        <v>6</v>
      </c>
      <c r="J18" s="1" t="n">
        <v>7</v>
      </c>
      <c r="K18" s="1" t="n">
        <v>8</v>
      </c>
      <c r="L18" s="1" t="n">
        <v>9</v>
      </c>
    </row>
    <row r="19" customFormat="false" ht="14.25" hidden="false" customHeight="false" outlineLevel="0" collapsed="false">
      <c r="C19" s="1" t="s">
        <v>15</v>
      </c>
      <c r="D19" s="1" t="n">
        <v>0</v>
      </c>
      <c r="E19" s="1" t="n">
        <v>1500</v>
      </c>
      <c r="F19" s="1" t="n">
        <v>3000</v>
      </c>
      <c r="G19" s="1" t="n">
        <v>4500</v>
      </c>
      <c r="H19" s="1" t="n">
        <v>6000</v>
      </c>
      <c r="I19" s="1" t="n">
        <v>7500</v>
      </c>
      <c r="J19" s="1" t="n">
        <v>9000</v>
      </c>
      <c r="K19" s="1" t="n">
        <v>10500</v>
      </c>
      <c r="L19" s="1" t="n">
        <v>12000</v>
      </c>
    </row>
    <row r="20" customFormat="false" ht="14.25" hidden="false" customHeight="false" outlineLevel="0" collapsed="false">
      <c r="C20" s="1" t="s">
        <v>16</v>
      </c>
      <c r="D20" s="1" t="n">
        <f aca="false">(1-EXP(-$B$2*$F$14*D19))/$B$2/$F$14*$C$10</f>
        <v>0</v>
      </c>
      <c r="E20" s="1" t="n">
        <f aca="false">(1-EXP(-$B$2*$F$14*E19))/$B$2/$F$14*$C$10</f>
        <v>1093.21719187333</v>
      </c>
      <c r="F20" s="1" t="n">
        <f aca="false">(1-EXP(-$B$2*$F$14*F19))/$B$2/$F$14*$C$10</f>
        <v>1897.0410635665</v>
      </c>
      <c r="G20" s="1" t="n">
        <f aca="false">(1-EXP(-$B$2*$F$14*G19))/$B$2/$F$14*$C$10</f>
        <v>2488.07898494843</v>
      </c>
      <c r="H20" s="1" t="n">
        <f aca="false">(1-EXP(-$B$2*$F$14*H19))/$B$2/$F$14*$C$10</f>
        <v>2922.65904261163</v>
      </c>
      <c r="I20" s="1" t="n">
        <f aca="false">(1-EXP(-$B$2*$F$14*I19))/$B$2/$F$14*$C$10</f>
        <v>3242.19831358932</v>
      </c>
      <c r="J20" s="1" t="n">
        <f aca="false">(1-EXP(-$B$2*$F$14*J19))/$B$2/$F$14*$C$10</f>
        <v>3477.15006504792</v>
      </c>
      <c r="K20" s="1" t="n">
        <f aca="false">(1-EXP(-$B$2*$F$14*K19))/$B$2/$F$14*$C$10</f>
        <v>3649.90606259579</v>
      </c>
      <c r="L20" s="1" t="n">
        <f aca="false">(1-EXP(-$B$2*$F$14*L19))/$B$2/$F$14*$C$10</f>
        <v>3776.93058785886</v>
      </c>
    </row>
    <row r="21" customFormat="false" ht="14.25" hidden="false" customHeight="false" outlineLevel="0" collapsed="false">
      <c r="C21" s="1" t="s">
        <v>17</v>
      </c>
      <c r="D21" s="1" t="n">
        <f aca="false">(1-EXP(-3*$B$2*$F$14*D19))/3/$B$2/$F$14*$C$10</f>
        <v>0</v>
      </c>
      <c r="E21" s="1" t="n">
        <f aca="false">(1-EXP(-3*$B$2*$F$14*E19))/3/$B$2/$F$14*$C$10</f>
        <v>829.359661649478</v>
      </c>
      <c r="F21" s="1" t="n">
        <f aca="false">(1-EXP(-3*$B$2*$F$14*F19))/3/$B$2/$F$14*$C$10</f>
        <v>1159.05002168264</v>
      </c>
      <c r="G21" s="1" t="n">
        <f aca="false">(1-EXP(-3*$B$2*$F$14*G19))/3/$B$2/$F$14*$C$10</f>
        <v>1290.10984834773</v>
      </c>
      <c r="H21" s="1" t="n">
        <f aca="false">(1-EXP(-3*$B$2*$F$14*H19))/3/$B$2/$F$14*$C$10</f>
        <v>1342.20927328619</v>
      </c>
      <c r="I21" s="1" t="n">
        <f aca="false">(1-EXP(-3*$B$2*$F$14*I19))/3/$B$2/$F$14*$C$10</f>
        <v>1362.92004445069</v>
      </c>
      <c r="J21" s="1" t="n">
        <f aca="false">(1-EXP(-3*$B$2*$F$14*J19))/3/$B$2/$F$14*$C$10</f>
        <v>1371.15307279475</v>
      </c>
      <c r="K21" s="1" t="n">
        <f aca="false">(1-EXP(-3*$B$2*$F$14*K19))/3/$B$2/$F$14*$C$10</f>
        <v>1374.42589905389</v>
      </c>
      <c r="L21" s="1" t="n">
        <f aca="false">(1-EXP(-3*$B$2*$F$14*L19))/3/$B$2/$F$14*$C$10</f>
        <v>1375.72692599986</v>
      </c>
    </row>
    <row r="22" customFormat="false" ht="14.25" hidden="false" customHeight="false" outlineLevel="0" collapsed="false">
      <c r="C22" s="1" t="s">
        <v>18</v>
      </c>
      <c r="D22" s="1" t="n">
        <f aca="false">(1-EXP(-5*$B$2*$F$14*D19))/5/$B$2/$F$14*$C$10</f>
        <v>0</v>
      </c>
      <c r="E22" s="1" t="n">
        <f aca="false">(1-EXP(-5*$B$2*$F$14*E19))/5/$B$2/$F$14*$C$10</f>
        <v>648.439662717863</v>
      </c>
      <c r="F22" s="1" t="n">
        <f aca="false">(1-EXP(-5*$B$2*$F$14*F19))/5/$B$2/$F$14*$C$10</f>
        <v>787.800839621531</v>
      </c>
      <c r="G22" s="1" t="n">
        <f aca="false">(1-EXP(-5*$B$2*$F$14*G19))/5/$B$2/$F$14*$C$10</f>
        <v>817.752026670411</v>
      </c>
      <c r="H22" s="1" t="n">
        <f aca="false">(1-EXP(-5*$B$2*$F$14*H19))/5/$B$2/$F$14*$C$10</f>
        <v>824.189067642425</v>
      </c>
      <c r="I22" s="1" t="n">
        <f aca="false">(1-EXP(-5*$B$2*$F$14*I19))/5/$B$2/$F$14*$C$10</f>
        <v>825.572501841803</v>
      </c>
      <c r="J22" s="1" t="n">
        <f aca="false">(1-EXP(-5*$B$2*$F$14*J19))/5/$B$2/$F$14*$C$10</f>
        <v>825.869826372178</v>
      </c>
      <c r="K22" s="1" t="n">
        <f aca="false">(1-EXP(-5*$B$2*$F$14*K19))/5/$B$2/$F$14*$C$10</f>
        <v>825.933726683738</v>
      </c>
      <c r="L22" s="1" t="n">
        <f aca="false">(1-EXP(-5*$B$2*$F$14*L19))/5/$B$2/$F$14*$C$10</f>
        <v>825.947459993305</v>
      </c>
    </row>
    <row r="44" customFormat="false" ht="14.25" hidden="false" customHeight="false" outlineLevel="0" collapsed="false">
      <c r="A44" s="2"/>
      <c r="B44" s="3"/>
      <c r="C44" s="3"/>
      <c r="D44" s="3"/>
      <c r="E44" s="3"/>
      <c r="F44" s="3" t="s">
        <v>19</v>
      </c>
      <c r="G44" s="3"/>
      <c r="H44" s="3"/>
      <c r="I44" s="3"/>
      <c r="J44" s="3"/>
      <c r="K44" s="3"/>
      <c r="L44" s="3"/>
      <c r="M44" s="4"/>
    </row>
    <row r="45" customFormat="false" ht="14.25" hidden="false" customHeight="false" outlineLevel="0" collapsed="false">
      <c r="A45" s="1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9"/>
    </row>
    <row r="46" customFormat="false" ht="14.25" hidden="false" customHeight="false" outlineLevel="0" collapsed="false">
      <c r="A46" s="17"/>
      <c r="B46" s="6"/>
      <c r="C46" s="6" t="s">
        <v>14</v>
      </c>
      <c r="D46" s="6" t="n">
        <v>1</v>
      </c>
      <c r="E46" s="6" t="n">
        <v>2</v>
      </c>
      <c r="F46" s="6" t="n">
        <v>3</v>
      </c>
      <c r="G46" s="6" t="n">
        <v>4</v>
      </c>
      <c r="H46" s="6" t="n">
        <v>5</v>
      </c>
      <c r="I46" s="6" t="n">
        <v>6</v>
      </c>
      <c r="J46" s="6" t="n">
        <v>7</v>
      </c>
      <c r="K46" s="6" t="n">
        <v>8</v>
      </c>
      <c r="L46" s="6" t="n">
        <v>9</v>
      </c>
      <c r="M46" s="9" t="n">
        <v>10</v>
      </c>
    </row>
    <row r="47" customFormat="false" ht="14.25" hidden="false" customHeight="false" outlineLevel="0" collapsed="false">
      <c r="A47" s="17"/>
      <c r="B47" s="6"/>
      <c r="C47" s="6" t="s">
        <v>15</v>
      </c>
      <c r="D47" s="6" t="n">
        <v>1000</v>
      </c>
      <c r="E47" s="6" t="n">
        <v>2000</v>
      </c>
      <c r="F47" s="6" t="n">
        <v>3000</v>
      </c>
      <c r="G47" s="6" t="n">
        <v>4000</v>
      </c>
      <c r="H47" s="6" t="n">
        <v>5000</v>
      </c>
      <c r="I47" s="6" t="n">
        <v>6000</v>
      </c>
      <c r="J47" s="6" t="n">
        <v>7000</v>
      </c>
      <c r="K47" s="6" t="n">
        <v>8000</v>
      </c>
      <c r="L47" s="6" t="n">
        <v>9000</v>
      </c>
      <c r="M47" s="9" t="n">
        <v>10000</v>
      </c>
    </row>
    <row r="48" customFormat="false" ht="14.25" hidden="false" customHeight="false" outlineLevel="0" collapsed="false">
      <c r="A48" s="17"/>
      <c r="B48" s="6"/>
      <c r="C48" s="6" t="s">
        <v>20</v>
      </c>
      <c r="D48" s="6" t="n">
        <f aca="false">(1-EXP(-$B$2*$F$14*D47))/$B$2/(1-EXP(-$F$14*D47))</f>
        <v>0.915793449973493</v>
      </c>
      <c r="E48" s="6" t="n">
        <f aca="false">(1-EXP(-$B$2*$F$14*E47))/$B$2/(1-EXP(-$F$14*E47))</f>
        <v>0.841566656791846</v>
      </c>
      <c r="F48" s="6" t="n">
        <f aca="false">(1-EXP(-$B$2*$F$14*F47))/$B$2/(1-EXP(-$F$14*F47))</f>
        <v>0.776003127455694</v>
      </c>
      <c r="G48" s="6" t="n">
        <f aca="false">(1-EXP(-$B$2*$F$14*G47))/$B$2/(1-EXP(-$F$14*G47))</f>
        <v>0.717970794122242</v>
      </c>
      <c r="H48" s="6" t="n">
        <f aca="false">(1-EXP(-$B$2*$F$14*H47))/$B$2/(1-EXP(-$F$14*H47))</f>
        <v>0.666495183804659</v>
      </c>
      <c r="I48" s="6" t="n">
        <f aca="false">(1-EXP(-$B$2*$F$14*I47))/$B$2/(1-EXP(-$F$14*I47))</f>
        <v>0.620736593322304</v>
      </c>
      <c r="J48" s="6" t="n">
        <f aca="false">(1-EXP(-$B$2*$F$14*J47))/$B$2/(1-EXP(-$F$14*J47))</f>
        <v>0.579970660358997</v>
      </c>
      <c r="K48" s="6" t="n">
        <f aca="false">(1-EXP(-$B$2*$F$14*K47))/$B$2/(1-EXP(-$F$14*K47))</f>
        <v>0.543571815433068</v>
      </c>
      <c r="L48" s="6" t="n">
        <f aca="false">(1-EXP(-$B$2*$F$14*L47))/$B$2/(1-EXP(-$F$14*L47))</f>
        <v>0.510999178882689</v>
      </c>
      <c r="M48" s="9" t="n">
        <f aca="false">(1-EXP(-$B$2*$F$14*M47))/$B$2/(1-EXP(-$F$14*M47))</f>
        <v>0.481784533926339</v>
      </c>
    </row>
    <row r="49" customFormat="false" ht="14.25" hidden="false" customHeight="false" outlineLevel="0" collapsed="false">
      <c r="A49" s="17"/>
      <c r="B49" s="6"/>
      <c r="C49" s="6" t="s">
        <v>21</v>
      </c>
      <c r="D49" s="6" t="n">
        <f aca="false">(1-EXP(-3*$B$2*$F$14*D47))/3/$B$2/(1-EXP(-$F$14*D47))</f>
        <v>0.756536226176554</v>
      </c>
      <c r="E49" s="6" t="n">
        <f aca="false">(1-EXP(-3*$B$2*$F$14*E47))/3/$B$2/(1-EXP(-$F$14*E47))</f>
        <v>0.590241724702019</v>
      </c>
      <c r="F49" s="6" t="n">
        <f aca="false">(1-EXP(-3*$B$2*$F$14*F47))/3/$B$2/(1-EXP(-$F$14*F47))</f>
        <v>0.474120702486201</v>
      </c>
      <c r="G49" s="6" t="n">
        <f aca="false">(1-EXP(-3*$B$2*$F$14*G47))/3/$B$2/(1-EXP(-$F$14*G47))</f>
        <v>0.391153287957315</v>
      </c>
      <c r="H49" s="6" t="n">
        <f aca="false">(1-EXP(-3*$B$2*$F$14*H47))/3/$B$2/(1-EXP(-$F$14*H47))</f>
        <v>0.330477497730897</v>
      </c>
      <c r="I49" s="6" t="n">
        <f aca="false">(1-EXP(-3*$B$2*$F$14*I47))/3/$B$2/(1-EXP(-$F$14*I47))</f>
        <v>0.285068630886476</v>
      </c>
      <c r="J49" s="6" t="n">
        <f aca="false">(1-EXP(-3*$B$2*$F$14*J47))/3/$B$2/(1-EXP(-$F$14*J47))</f>
        <v>0.250318099719459</v>
      </c>
      <c r="K49" s="6" t="n">
        <f aca="false">(1-EXP(-3*$B$2*$F$14*K47))/3/$B$2/(1-EXP(-$F$14*K47))</f>
        <v>0.22315585301439</v>
      </c>
      <c r="L49" s="6" t="n">
        <f aca="false">(1-EXP(-3*$B$2*$F$14*L47))/3/$B$2/(1-EXP(-$F$14*L47))</f>
        <v>0.201503553546211</v>
      </c>
      <c r="M49" s="9" t="n">
        <f aca="false">(1-EXP(-3*$B$2*$F$14*M47))/3/$B$2/(1-EXP(-$F$14*M47))</f>
        <v>0.183930492715264</v>
      </c>
    </row>
    <row r="50" customFormat="false" ht="14.25" hidden="false" customHeight="false" outlineLevel="0" collapsed="false">
      <c r="A50" s="18"/>
      <c r="B50" s="11"/>
      <c r="C50" s="11" t="s">
        <v>22</v>
      </c>
      <c r="D50" s="11" t="n">
        <f aca="false">(1-EXP(-5*$B$2*$F$14*D47))/5/$B$2/(1-EXP(-$F$14*D47))</f>
        <v>0.633613698719864</v>
      </c>
      <c r="E50" s="11" t="n">
        <f aca="false">(1-EXP(-5*$B$2*$F$14*E47))/5/$B$2/(1-EXP(-$F$14*E47))</f>
        <v>0.435991199437019</v>
      </c>
      <c r="F50" s="11" t="n">
        <f aca="false">(1-EXP(-5*$B$2*$F$14*F47))/5/$B$2/(1-EXP(-$F$14*F47))</f>
        <v>0.322257607966165</v>
      </c>
      <c r="G50" s="11" t="n">
        <f aca="false">(1-EXP(-5*$B$2*$F$14*G47))/5/$B$2/(1-EXP(-$F$14*G47))</f>
        <v>0.252363130577006</v>
      </c>
      <c r="H50" s="11" t="n">
        <f aca="false">(1-EXP(-5*$B$2*$F$14*H47))/5/$B$2/(1-EXP(-$F$14*H47))</f>
        <v>0.206652653277768</v>
      </c>
      <c r="I50" s="11" t="n">
        <f aca="false">(1-EXP(-5*$B$2*$F$14*I47))/5/$B$2/(1-EXP(-$F$14*I47))</f>
        <v>0.175047553150328</v>
      </c>
      <c r="J50" s="11" t="n">
        <f aca="false">(1-EXP(-5*$B$2*$F$14*J47))/5/$B$2/(1-EXP(-$F$14*J47))</f>
        <v>0.152129777588204</v>
      </c>
      <c r="K50" s="11" t="n">
        <f aca="false">(1-EXP(-5*$B$2*$F$14*K47))/5/$B$2/(1-EXP(-$F$14*K47))</f>
        <v>0.134840959282932</v>
      </c>
      <c r="L50" s="11" t="n">
        <f aca="false">(1-EXP(-5*$B$2*$F$14*L47))/5/$B$2/(1-EXP(-$F$14*L47))</f>
        <v>0.121369165910404</v>
      </c>
      <c r="M50" s="13" t="n">
        <f aca="false">(1-EXP(-5*$B$2*$F$14*M47))/5/$B$2/(1-EXP(-$F$14*M47))</f>
        <v>0.110590336101642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2025-11-07T16:31:00Z</dcterms:created>
  <dc:creator>Андрей Чепоров</dc:creator>
  <dc:description/>
  <dc:language>en-US</dc:language>
  <cp:lastModifiedBy/>
  <dcterms:modified xsi:type="dcterms:W3CDTF">2025-11-09T23:13:51Z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