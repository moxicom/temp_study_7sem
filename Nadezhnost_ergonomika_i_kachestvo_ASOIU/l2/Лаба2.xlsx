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  <sheet name="Sheet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<sst xmlns="http://schemas.openxmlformats.org/spreadsheetml/2006/main" count="32" uniqueCount="23">
  <si>
    <t xml:space="preserve">Вероятность работоспособности ребер</t>
  </si>
  <si>
    <t xml:space="preserve">Одинаковое для всех ребер</t>
  </si>
  <si>
    <t xml:space="preserve">расчет вероятности готовности системы</t>
  </si>
  <si>
    <t xml:space="preserve">Путь есть?</t>
  </si>
  <si>
    <t xml:space="preserve">р</t>
  </si>
  <si>
    <t xml:space="preserve">Кг</t>
  </si>
  <si>
    <t xml:space="preserve">Коэф. Готовности системы</t>
  </si>
  <si>
    <t xml:space="preserve">-&gt;</t>
  </si>
  <si>
    <t xml:space="preserve">- Кол-во состояний</t>
  </si>
  <si>
    <t xml:space="preserve">работоспособности</t>
  </si>
  <si>
    <t xml:space="preserve">системы</t>
  </si>
  <si>
    <t xml:space="preserve">Модель 2</t>
  </si>
  <si>
    <t xml:space="preserve">e2</t>
  </si>
  <si>
    <t xml:space="preserve">e3</t>
  </si>
  <si>
    <t xml:space="preserve">e4</t>
  </si>
  <si>
    <t xml:space="preserve">e6</t>
  </si>
  <si>
    <t xml:space="preserve">e9</t>
  </si>
  <si>
    <t xml:space="preserve">e10</t>
  </si>
  <si>
    <t xml:space="preserve">Значение ребра p</t>
  </si>
  <si>
    <t xml:space="preserve">Общий кг при изм 1 ребра</t>
  </si>
  <si>
    <t xml:space="preserve">Определение ребер, дающих наибольшее приращение при ост. Фикс</t>
  </si>
  <si>
    <t xml:space="preserve">Ребрах = 0,7</t>
  </si>
  <si>
    <t xml:space="preserve">СЮДА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</si>
</sst>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9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204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b val="true"/>
      <sz val="11"/>
      <color theme="1"/>
      <name val="Aptos Narrow"/>
      <family val="2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196B24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Aptos Narrow"/>
              </a:rPr>
              <a:t>Зависимость Kг от p (вариант 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Лист1!$O$4:$O$7</c:f>
              <c:numCache>
                <c:formatCode>General</c:formatCode>
                <c:ptCount val="4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</c:numCache>
            </c:numRef>
          </c:xVal>
          <c:yVal>
            <c:numRef>
              <c:f>Лист1!$P$4:$P$7</c:f>
              <c:numCache>
                <c:formatCode>#,##0.00</c:formatCode>
                <c:ptCount val="4"/>
                <c:pt idx="0">
                  <c:v>0.6642816</c:v>
                </c:pt>
                <c:pt idx="1">
                  <c:v>0.7871563</c:v>
                </c:pt>
                <c:pt idx="2">
                  <c:v>0.8950272</c:v>
                </c:pt>
                <c:pt idx="3">
                  <c:v>0.9715149</c:v>
                </c:pt>
              </c:numCache>
            </c:numRef>
          </c:yVal>
          <c:smooth val="0"/>
        </c:ser>
        <c:axId val="20056536"/>
        <c:axId val="1010564"/>
      </c:scatterChart>
      <c:valAx>
        <c:axId val="2005653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010564"/>
        <c:crosses val="autoZero"/>
        <c:crossBetween val="midCat"/>
      </c:valAx>
      <c:valAx>
        <c:axId val="1010564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005653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Aptos Narrow"/>
              </a:rPr>
              <a:t>Влияние k-та готовности ребра на k-т готовности системы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Лист3!$B$1:$B$1</c:f>
              <c:strCache>
                <c:ptCount val="1"/>
                <c:pt idx="0">
                  <c:v>Общий кг при изм 1 ребра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Лист3!$A$2:$A$11</c:f>
              <c:strCach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strCache>
            </c:strRef>
          </c:cat>
          <c:val>
            <c:numRef>
              <c:f>Лист3!$B$2:$B$11</c:f>
              <c:numCache>
                <c:formatCode>General</c:formatCode>
                <c:ptCount val="10"/>
                <c:pt idx="0">
                  <c:v>0.7124509</c:v>
                </c:pt>
                <c:pt idx="1">
                  <c:v>0.7249018</c:v>
                </c:pt>
                <c:pt idx="2">
                  <c:v>0.7373527</c:v>
                </c:pt>
                <c:pt idx="3">
                  <c:v>0.7498036</c:v>
                </c:pt>
                <c:pt idx="4">
                  <c:v>0.7622545</c:v>
                </c:pt>
                <c:pt idx="5">
                  <c:v>0.7747054</c:v>
                </c:pt>
                <c:pt idx="6">
                  <c:v>0.7871563</c:v>
                </c:pt>
                <c:pt idx="7">
                  <c:v>0.7996072</c:v>
                </c:pt>
                <c:pt idx="8">
                  <c:v>0.8120581</c:v>
                </c:pt>
                <c:pt idx="9">
                  <c:v>0.824509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Лист3!$C$1:$C$1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Лист3!$A$2:$A$11</c:f>
              <c:strCach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strCache>
            </c:strRef>
          </c:cat>
          <c:val>
            <c:numRef>
              <c:f>Лист3!$C$2:$C$11</c:f>
              <c:numCache>
                <c:formatCode>General</c:formatCode>
                <c:ptCount val="10"/>
                <c:pt idx="0">
                  <c:v>0.7124509</c:v>
                </c:pt>
                <c:pt idx="1">
                  <c:v>0.7249018</c:v>
                </c:pt>
                <c:pt idx="2">
                  <c:v>0.7373527</c:v>
                </c:pt>
                <c:pt idx="3">
                  <c:v>0.7498036</c:v>
                </c:pt>
                <c:pt idx="4">
                  <c:v>0.7622545</c:v>
                </c:pt>
                <c:pt idx="5">
                  <c:v>0.7747054</c:v>
                </c:pt>
                <c:pt idx="6">
                  <c:v>0.7871563</c:v>
                </c:pt>
                <c:pt idx="7">
                  <c:v>0.7996072</c:v>
                </c:pt>
                <c:pt idx="8">
                  <c:v>0.8120581</c:v>
                </c:pt>
                <c:pt idx="9">
                  <c:v>0.824509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Лист3!$D$1:$D$1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Лист3!$A$2:$A$11</c:f>
              <c:strCach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strCache>
            </c:strRef>
          </c:cat>
          <c:val>
            <c:numRef>
              <c:f>Лист3!$D$2:$D$11</c:f>
              <c:numCache>
                <c:formatCode>General</c:formatCode>
                <c:ptCount val="10"/>
                <c:pt idx="0">
                  <c:v>0.3614689</c:v>
                </c:pt>
                <c:pt idx="1">
                  <c:v>0.4324168</c:v>
                </c:pt>
                <c:pt idx="2">
                  <c:v>0.5033647</c:v>
                </c:pt>
                <c:pt idx="3">
                  <c:v>0.5743126</c:v>
                </c:pt>
                <c:pt idx="4">
                  <c:v>0.6452605</c:v>
                </c:pt>
                <c:pt idx="5">
                  <c:v>0.7162084</c:v>
                </c:pt>
                <c:pt idx="6">
                  <c:v>0.7871563</c:v>
                </c:pt>
                <c:pt idx="7">
                  <c:v>0.8581042</c:v>
                </c:pt>
                <c:pt idx="8">
                  <c:v>0.9290521</c:v>
                </c:pt>
                <c:pt idx="9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Лист3!$E$1:$E$1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Лист3!$A$2:$A$11</c:f>
              <c:strCach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strCache>
            </c:strRef>
          </c:cat>
          <c:val>
            <c:numRef>
              <c:f>Лист3!$E$2:$E$11</c:f>
              <c:numCache>
                <c:formatCode>General</c:formatCode>
                <c:ptCount val="10"/>
                <c:pt idx="0">
                  <c:v>0.7124509</c:v>
                </c:pt>
                <c:pt idx="1">
                  <c:v>0.7249018</c:v>
                </c:pt>
                <c:pt idx="2">
                  <c:v>0.7373527</c:v>
                </c:pt>
                <c:pt idx="3">
                  <c:v>0.7498036</c:v>
                </c:pt>
                <c:pt idx="4">
                  <c:v>0.7622545</c:v>
                </c:pt>
                <c:pt idx="5">
                  <c:v>0.7747054</c:v>
                </c:pt>
                <c:pt idx="6">
                  <c:v>0.7871563</c:v>
                </c:pt>
                <c:pt idx="7">
                  <c:v>0.7996072</c:v>
                </c:pt>
                <c:pt idx="8">
                  <c:v>0.8120581</c:v>
                </c:pt>
                <c:pt idx="9">
                  <c:v>0.824509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Лист3!$F$1:$F$1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Лист3!$A$2:$A$11</c:f>
              <c:strCach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strCache>
            </c:strRef>
          </c:cat>
          <c:val>
            <c:numRef>
              <c:f>Лист3!$F$2:$F$11</c:f>
              <c:numCache>
                <c:formatCode>General</c:formatCode>
                <c:ptCount val="10"/>
                <c:pt idx="0">
                  <c:v>0.7741909</c:v>
                </c:pt>
                <c:pt idx="1">
                  <c:v>0.7763518</c:v>
                </c:pt>
                <c:pt idx="2">
                  <c:v>0.7785127</c:v>
                </c:pt>
                <c:pt idx="3">
                  <c:v>0.7806736</c:v>
                </c:pt>
                <c:pt idx="4">
                  <c:v>0.7828345</c:v>
                </c:pt>
                <c:pt idx="5">
                  <c:v>0.7849954</c:v>
                </c:pt>
                <c:pt idx="6">
                  <c:v>0.7871563</c:v>
                </c:pt>
                <c:pt idx="7">
                  <c:v>0.7893172</c:v>
                </c:pt>
                <c:pt idx="8">
                  <c:v>0.7914781</c:v>
                </c:pt>
                <c:pt idx="9">
                  <c:v>0.793639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Лист3!$G$1:$G$1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Лист3!$A$2:$A$11</c:f>
              <c:strCach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strCache>
            </c:strRef>
          </c:cat>
          <c:val>
            <c:numRef>
              <c:f>Лист3!$G$2:$G$11</c:f>
              <c:numCache>
                <c:formatCode>General</c:formatCode>
                <c:ptCount val="10"/>
                <c:pt idx="0">
                  <c:v>0.7741909</c:v>
                </c:pt>
                <c:pt idx="1">
                  <c:v>0.7763518</c:v>
                </c:pt>
                <c:pt idx="2">
                  <c:v>0.7785127</c:v>
                </c:pt>
                <c:pt idx="3">
                  <c:v>0.7806736</c:v>
                </c:pt>
                <c:pt idx="4">
                  <c:v>0.7828345</c:v>
                </c:pt>
                <c:pt idx="5">
                  <c:v>0.7849954</c:v>
                </c:pt>
                <c:pt idx="6">
                  <c:v>0.7871563</c:v>
                </c:pt>
                <c:pt idx="7">
                  <c:v>0.7893172</c:v>
                </c:pt>
                <c:pt idx="8">
                  <c:v>0.7914781</c:v>
                </c:pt>
                <c:pt idx="9">
                  <c:v>0.793639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Лист3!$H$1:$H$1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Лист3!$A$2:$A$11</c:f>
              <c:strCach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strCache>
            </c:strRef>
          </c:cat>
          <c:val>
            <c:numRef>
              <c:f>Лист3!$H$2:$H$11</c:f>
              <c:numCache>
                <c:formatCode>General</c:formatCode>
                <c:ptCount val="10"/>
                <c:pt idx="0">
                  <c:v>0.7556689</c:v>
                </c:pt>
                <c:pt idx="1">
                  <c:v>0.7609168</c:v>
                </c:pt>
                <c:pt idx="2">
                  <c:v>0.7661647</c:v>
                </c:pt>
                <c:pt idx="3">
                  <c:v>0.7714126</c:v>
                </c:pt>
                <c:pt idx="4">
                  <c:v>0.7766605</c:v>
                </c:pt>
                <c:pt idx="5">
                  <c:v>0.7819084</c:v>
                </c:pt>
                <c:pt idx="6">
                  <c:v>0.7871563</c:v>
                </c:pt>
                <c:pt idx="7">
                  <c:v>0.7924042</c:v>
                </c:pt>
                <c:pt idx="8">
                  <c:v>0.7976521</c:v>
                </c:pt>
                <c:pt idx="9">
                  <c:v>0.8029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012306"/>
        <c:axId val="45681038"/>
      </c:lineChart>
      <c:catAx>
        <c:axId val="460123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5681038"/>
        <c:crosses val="autoZero"/>
        <c:auto val="1"/>
        <c:lblAlgn val="ctr"/>
        <c:lblOffset val="100"/>
        <c:noMultiLvlLbl val="0"/>
      </c:catAx>
      <c:valAx>
        <c:axId val="4568103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60123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43560</xdr:colOff>
      <xdr:row>8</xdr:row>
      <xdr:rowOff>76320</xdr:rowOff>
    </xdr:from>
    <xdr:to>
      <xdr:col>21</xdr:col>
      <xdr:colOff>347760</xdr:colOff>
      <xdr:row>23</xdr:row>
      <xdr:rowOff>42840</xdr:rowOff>
    </xdr:to>
    <xdr:graphicFrame>
      <xdr:nvGraphicFramePr>
        <xdr:cNvPr id="0" name="Диаграмма 4"/>
        <xdr:cNvGraphicFramePr/>
      </xdr:nvGraphicFramePr>
      <xdr:xfrm>
        <a:off x="12082680" y="1524240"/>
        <a:ext cx="5118120" cy="268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855360</xdr:colOff>
      <xdr:row>14</xdr:row>
      <xdr:rowOff>178920</xdr:rowOff>
    </xdr:from>
    <xdr:to>
      <xdr:col>5</xdr:col>
      <xdr:colOff>615240</xdr:colOff>
      <xdr:row>29</xdr:row>
      <xdr:rowOff>177840</xdr:rowOff>
    </xdr:to>
    <xdr:graphicFrame>
      <xdr:nvGraphicFramePr>
        <xdr:cNvPr id="1" name="Диаграмма 1"/>
        <xdr:cNvGraphicFramePr/>
      </xdr:nvGraphicFramePr>
      <xdr:xfrm>
        <a:off x="855360" y="2712600"/>
        <a:ext cx="5118120" cy="271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N21" activeCellId="0" sqref="N21"/>
    </sheetView>
  </sheetViews>
  <sheetFormatPr defaultColWidth="8.59765625" defaultRowHeight="14.25" zeroHeight="false" outlineLevelRow="0" outlineLevelCol="0"/>
  <cols>
    <col collapsed="false" customWidth="false" hidden="false" outlineLevel="0" max="7" min="1" style="1" width="8.59"/>
    <col collapsed="false" customWidth="true" hidden="false" outlineLevel="0" max="8" min="8" style="2" width="38.73"/>
    <col collapsed="false" customWidth="false" hidden="false" outlineLevel="0" max="12" min="9" style="3" width="8.59"/>
    <col collapsed="false" customWidth="false" hidden="false" outlineLevel="0" max="16384" min="13" style="1" width="8.59"/>
  </cols>
  <sheetData>
    <row r="1" customFormat="false" ht="14.25" hidden="false" customHeight="false" outlineLevel="0" collapsed="false">
      <c r="A1" s="4" t="s">
        <v>0</v>
      </c>
      <c r="B1" s="4"/>
      <c r="C1" s="4"/>
      <c r="D1" s="4"/>
      <c r="E1" s="4"/>
      <c r="F1" s="4"/>
    </row>
    <row r="2" s="1" customFormat="true" ht="14.25" hidden="false" customHeight="false" outlineLevel="0" collapsed="false">
      <c r="A2" s="2" t="n">
        <v>0.7</v>
      </c>
      <c r="B2" s="2" t="n">
        <v>0.7</v>
      </c>
      <c r="C2" s="2" t="n">
        <v>0.7</v>
      </c>
      <c r="D2" s="2" t="n">
        <v>0.7</v>
      </c>
      <c r="E2" s="2" t="n">
        <v>0.7</v>
      </c>
      <c r="F2" s="2" t="n">
        <v>0.7</v>
      </c>
      <c r="G2" s="2" t="n">
        <v>0.7</v>
      </c>
      <c r="I2" s="5" t="s">
        <v>1</v>
      </c>
      <c r="J2" s="5"/>
      <c r="K2" s="5"/>
      <c r="L2" s="5"/>
    </row>
    <row r="3" customFormat="false" ht="14.25" hidden="false" customHeight="false" outlineLevel="0" collapsed="false">
      <c r="A3" s="2" t="n">
        <v>1</v>
      </c>
      <c r="B3" s="2" t="n">
        <v>2</v>
      </c>
      <c r="C3" s="2" t="n">
        <v>3</v>
      </c>
      <c r="D3" s="2" t="n">
        <v>4</v>
      </c>
      <c r="E3" s="2" t="n">
        <v>5</v>
      </c>
      <c r="F3" s="2" t="n">
        <v>7</v>
      </c>
      <c r="G3" s="2" t="n">
        <v>11</v>
      </c>
      <c r="H3" s="1" t="s">
        <v>2</v>
      </c>
      <c r="I3" s="6" t="n">
        <v>0.6</v>
      </c>
      <c r="J3" s="6" t="n">
        <v>0.7</v>
      </c>
      <c r="K3" s="6" t="n">
        <v>0.8</v>
      </c>
      <c r="L3" s="6" t="n">
        <v>0.9</v>
      </c>
      <c r="M3" s="2" t="s">
        <v>3</v>
      </c>
      <c r="O3" s="2" t="s">
        <v>4</v>
      </c>
      <c r="P3" s="2" t="s">
        <v>5</v>
      </c>
    </row>
    <row r="4" customFormat="false" ht="14.25" hidden="false" customHeight="false" outlineLevel="0" collapsed="false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1" t="n">
        <f aca="false"> ((($A4*$A$2)+(1-$A$2)*(1-$A4))* (($B4*$B$2)+(1-$B$2)*(1-$B4)) *(($C4*$C$2)+(1-
$C$2)*(1-$C4))* (($D4*$D$2)+(1-$D$2)*(1-$D4))* (($E4*$E$2)+(1-$E$2)*(1-$E4))*
(($F4*$F$2)+(1-$F$2)*(1-$F4))* (($G4*$G$2)+(1-$G$2)*(1-$G4)))*$M4</f>
        <v>0</v>
      </c>
      <c r="I4" s="6" t="n">
        <f aca="false">PRODUCT(IF(B4=1,0.6,1-0.6), IF(A4=1,0.6,1-0.6),
        IF(C4=1,0.6,1-0.6),
        IF(D4=1,0.6,1-0.6),
        IF(E4=1,0.6,1-0.6),
        IF(F4=1,0.6,1-0.6),
        IF(G4=1,0.6,1-0.6)) * M4</f>
        <v>0</v>
      </c>
      <c r="J4" s="6" t="n">
        <f aca="false">PRODUCT(IF(B4=1,0.7,1-0.7), IF(A4=1,0.7,1-0.7),
          IF(C4=1,0.7,1-0.7),
          IF(D4=1,0.7,1-0.7),
          IF(E4=1,0.7,1-0.7),
          IF(F4=1,0.7,1-0.7),
          IF(G4=1,0.7,1-0.7)) * M4</f>
        <v>0</v>
      </c>
      <c r="K4" s="6" t="n">
        <f aca="false">PRODUCT(IF(B4=1,0.8,1-0.8),IF(A4=1,0.8,1-0.8),
          IF(C4=1,0.8,1-0.8),
          IF(D4=1,0.8,1-0.8),
          IF(E4=1,0.8,1-0.8),
          IF(F4=1,0.8,1-0.8),
          IF(G4=1,0.8,1-0.8)) * M4</f>
        <v>0</v>
      </c>
      <c r="L4" s="6" t="n">
        <f aca="false">PRODUCT(IF(B4=1,0.9,1-0.9), IF(A4=1,0.9,1-0.9),
          IF(C4=1,0.9,1-0.9),
          IF(D4=1,0.9,1-0.9),
          IF(E4=1,0.9,1-0.9),
          IF(F4=1,0.9,1-0.9),
          IF(G4=1,0.9,1-0.9)) * M4</f>
        <v>0</v>
      </c>
      <c r="M4" s="2" t="n">
        <f aca="false">IF(C4=1,1,IF(AND(B4=1,A4=1,G4=1,D4=1),1,IF(AND(B4=1,A4=1,F4=1,D4=1,E4=1)
,1,0)))</f>
        <v>0</v>
      </c>
      <c r="O4" s="2" t="n">
        <v>0.6</v>
      </c>
      <c r="P4" s="6" t="n">
        <f aca="false">I132</f>
        <v>0.6642816</v>
      </c>
    </row>
    <row r="5" customFormat="false" ht="14.25" hidden="false" customHeight="false" outlineLevel="0" collapsed="false">
      <c r="A5" s="2" t="n">
        <v>0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1</v>
      </c>
      <c r="H5" s="1" t="n">
        <f aca="false"> ((($A5*$A$2)+(1-$A$2)*(1-$A5))* (($B5*$B$2)+(1-$B$2)*(1-$B5)) *(($C5*$C$2)+(1-
$C$2)*(1-$C5))* (($D5*$D$2)+(1-$D$2)*(1-$D5))* (($E5*$E$2)+(1-$E$2)*(1-$E5))*
(($F5*$F$2)+(1-$F$2)*(1-$F5))* (($G5*$G$2)+(1-$G$2)*(1-$G5)))*$M5</f>
        <v>0</v>
      </c>
      <c r="I5" s="6" t="n">
        <f aca="false">PRODUCT(IF(B5=1,0.6,1-0.6), IF(A5=1,0.6,1-0.6),
        IF(C5=1,0.6,1-0.6),
        IF(D5=1,0.6,1-0.6),
        IF(E5=1,0.6,1-0.6),
        IF(F5=1,0.6,1-0.6),
        IF(G5=1,0.6,1-0.6)) * M5</f>
        <v>0</v>
      </c>
      <c r="J5" s="6" t="n">
        <f aca="false">PRODUCT(IF(B5=1,0.7,1-0.7), IF(A5=1,0.7,1-0.7),
          IF(C5=1,0.7,1-0.7),
          IF(D5=1,0.7,1-0.7),
          IF(E5=1,0.7,1-0.7),
          IF(F5=1,0.7,1-0.7),
          IF(G5=1,0.7,1-0.7)) * M5</f>
        <v>0</v>
      </c>
      <c r="K5" s="6" t="n">
        <f aca="false">PRODUCT(IF(B5=1,0.8,1-0.8),IF(A5=1,0.8,1-0.8),
          IF(C5=1,0.8,1-0.8),
          IF(D5=1,0.8,1-0.8),
          IF(E5=1,0.8,1-0.8),
          IF(F5=1,0.8,1-0.8),
          IF(G5=1,0.8,1-0.8)) * M5</f>
        <v>0</v>
      </c>
      <c r="L5" s="6" t="n">
        <f aca="false">PRODUCT(IF(B5=1,0.9,1-0.9), IF(A5=1,0.9,1-0.9),
          IF(C5=1,0.9,1-0.9),
          IF(D5=1,0.9,1-0.9),
          IF(E5=1,0.9,1-0.9),
          IF(F5=1,0.9,1-0.9),
          IF(G5=1,0.9,1-0.9)) * M5</f>
        <v>0</v>
      </c>
      <c r="M5" s="2" t="n">
        <f aca="false">IF(C5=1,1,IF(AND(B5=1,A5=1,G5=1,D5=1),1,IF(AND(B5=1,A5=1,F5=1,D5=1,E5=1)
,1,0)))</f>
        <v>0</v>
      </c>
      <c r="O5" s="2" t="n">
        <v>0.7</v>
      </c>
      <c r="P5" s="6" t="n">
        <f aca="false">J132</f>
        <v>0.7871563</v>
      </c>
    </row>
    <row r="6" customFormat="false" ht="14.25" hidden="false" customHeight="false" outlineLevel="0" collapsed="false">
      <c r="A6" s="2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1" t="n">
        <f aca="false"> ((($A6*$A$2)+(1-$A$2)*(1-$A6))* (($B6*$B$2)+(1-$B$2)*(1-$B6)) *(($C6*$C$2)+(1-
$C$2)*(1-$C6))* (($D6*$D$2)+(1-$D$2)*(1-$D6))* (($E6*$E$2)+(1-$E$2)*(1-$E6))*
(($F6*$F$2)+(1-$F$2)*(1-$F6))* (($G6*$G$2)+(1-$G$2)*(1-$G6)))*$M6</f>
        <v>0</v>
      </c>
      <c r="I6" s="6" t="n">
        <f aca="false">PRODUCT(IF(B6=1,0.6,1-0.6), IF(A6=1,0.6,1-0.6),
        IF(C6=1,0.6,1-0.6),
        IF(D6=1,0.6,1-0.6),
        IF(E6=1,0.6,1-0.6),
        IF(F6=1,0.6,1-0.6),
        IF(G6=1,0.6,1-0.6)) * M6</f>
        <v>0</v>
      </c>
      <c r="J6" s="6" t="n">
        <f aca="false">PRODUCT(IF(B6=1,0.7,1-0.7), IF(A6=1,0.7,1-0.7),
          IF(C6=1,0.7,1-0.7),
          IF(D6=1,0.7,1-0.7),
          IF(E6=1,0.7,1-0.7),
          IF(F6=1,0.7,1-0.7),
          IF(G6=1,0.7,1-0.7)) * M6</f>
        <v>0</v>
      </c>
      <c r="K6" s="6" t="n">
        <f aca="false">PRODUCT(IF(B6=1,0.8,1-0.8),IF(A6=1,0.8,1-0.8),
          IF(C6=1,0.8,1-0.8),
          IF(D6=1,0.8,1-0.8),
          IF(E6=1,0.8,1-0.8),
          IF(F6=1,0.8,1-0.8),
          IF(G6=1,0.8,1-0.8)) * M6</f>
        <v>0</v>
      </c>
      <c r="L6" s="6" t="n">
        <f aca="false">PRODUCT(IF(B6=1,0.9,1-0.9), IF(A6=1,0.9,1-0.9),
          IF(C6=1,0.9,1-0.9),
          IF(D6=1,0.9,1-0.9),
          IF(E6=1,0.9,1-0.9),
          IF(F6=1,0.9,1-0.9),
          IF(G6=1,0.9,1-0.9)) * M6</f>
        <v>0</v>
      </c>
      <c r="M6" s="2" t="n">
        <f aca="false">IF(C6=1,1,IF(AND(B6=1,A6=1,G6=1,D6=1),1,IF(AND(B6=1,A6=1,F6=1,D6=1,E6=1)
,1,0)))</f>
        <v>0</v>
      </c>
      <c r="O6" s="2" t="n">
        <v>0.8</v>
      </c>
      <c r="P6" s="6" t="n">
        <f aca="false">K132</f>
        <v>0.8950272</v>
      </c>
    </row>
    <row r="7" customFormat="false" ht="14.25" hidden="false" customHeight="false" outlineLevel="0" collapsed="false">
      <c r="A7" s="2" t="n">
        <v>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1</v>
      </c>
      <c r="H7" s="1" t="n">
        <f aca="false"> ((($A7*$A$2)+(1-$A$2)*(1-$A7))* (($B7*$B$2)+(1-$B$2)*(1-$B7)) *(($C7*$C$2)+(1-
$C$2)*(1-$C7))* (($D7*$D$2)+(1-$D$2)*(1-$D7))* (($E7*$E$2)+(1-$E$2)*(1-$E7))*
(($F7*$F$2)+(1-$F$2)*(1-$F7))* (($G7*$G$2)+(1-$G$2)*(1-$G7)))*$M7</f>
        <v>0</v>
      </c>
      <c r="I7" s="6" t="n">
        <f aca="false">PRODUCT(IF(B7=1,0.6,1-0.6), IF(A7=1,0.6,1-0.6),
        IF(C7=1,0.6,1-0.6),
        IF(D7=1,0.6,1-0.6),
        IF(E7=1,0.6,1-0.6),
        IF(F7=1,0.6,1-0.6),
        IF(G7=1,0.6,1-0.6)) * M7</f>
        <v>0</v>
      </c>
      <c r="J7" s="6" t="n">
        <f aca="false">PRODUCT(IF(B7=1,0.7,1-0.7), IF(A7=1,0.7,1-0.7),
          IF(C7=1,0.7,1-0.7),
          IF(D7=1,0.7,1-0.7),
          IF(E7=1,0.7,1-0.7),
          IF(F7=1,0.7,1-0.7),
          IF(G7=1,0.7,1-0.7)) * M7</f>
        <v>0</v>
      </c>
      <c r="K7" s="6" t="n">
        <f aca="false">PRODUCT(IF(B7=1,0.8,1-0.8),IF(A7=1,0.8,1-0.8),
          IF(C7=1,0.8,1-0.8),
          IF(D7=1,0.8,1-0.8),
          IF(E7=1,0.8,1-0.8),
          IF(F7=1,0.8,1-0.8),
          IF(G7=1,0.8,1-0.8)) * M7</f>
        <v>0</v>
      </c>
      <c r="L7" s="6" t="n">
        <f aca="false">PRODUCT(IF(B7=1,0.9,1-0.9), IF(A7=1,0.9,1-0.9),
          IF(C7=1,0.9,1-0.9),
          IF(D7=1,0.9,1-0.9),
          IF(E7=1,0.9,1-0.9),
          IF(F7=1,0.9,1-0.9),
          IF(G7=1,0.9,1-0.9)) * M7</f>
        <v>0</v>
      </c>
      <c r="M7" s="2" t="n">
        <f aca="false">IF(C7=1,1,IF(AND(B7=1,A7=1,G7=1,D7=1),1,IF(AND(B7=1,A7=1,F7=1,D7=1,E7=1)
,1,0)))</f>
        <v>0</v>
      </c>
      <c r="O7" s="2" t="n">
        <v>0.9</v>
      </c>
      <c r="P7" s="6" t="n">
        <f aca="false">L132</f>
        <v>0.9715149</v>
      </c>
    </row>
    <row r="8" customFormat="false" ht="14.25" hidden="false" customHeight="false" outlineLevel="0" collapsed="false">
      <c r="A8" s="2" t="n">
        <v>0</v>
      </c>
      <c r="B8" s="2" t="n">
        <v>0</v>
      </c>
      <c r="C8" s="2" t="n">
        <v>0</v>
      </c>
      <c r="D8" s="2" t="n">
        <v>0</v>
      </c>
      <c r="E8" s="2" t="n">
        <v>1</v>
      </c>
      <c r="F8" s="2" t="n">
        <v>0</v>
      </c>
      <c r="G8" s="2" t="n">
        <v>0</v>
      </c>
      <c r="H8" s="1" t="n">
        <f aca="false"> ((($A8*$A$2)+(1-$A$2)*(1-$A8))* (($B8*$B$2)+(1-$B$2)*(1-$B8)) *(($C8*$C$2)+(1-
$C$2)*(1-$C8))* (($D8*$D$2)+(1-$D$2)*(1-$D8))* (($E8*$E$2)+(1-$E$2)*(1-$E8))*
(($F8*$F$2)+(1-$F$2)*(1-$F8))* (($G8*$G$2)+(1-$G$2)*(1-$G8)))*$M8</f>
        <v>0</v>
      </c>
      <c r="I8" s="6" t="n">
        <f aca="false">PRODUCT(IF(B8=1,0.6,1-0.6), IF(A8=1,0.6,1-0.6),
        IF(C8=1,0.6,1-0.6),
        IF(D8=1,0.6,1-0.6),
        IF(E8=1,0.6,1-0.6),
        IF(F8=1,0.6,1-0.6),
        IF(G8=1,0.6,1-0.6)) * M8</f>
        <v>0</v>
      </c>
      <c r="J8" s="6" t="n">
        <f aca="false">PRODUCT(IF(B8=1,0.7,1-0.7), IF(A8=1,0.7,1-0.7),
          IF(C8=1,0.7,1-0.7),
          IF(D8=1,0.7,1-0.7),
          IF(E8=1,0.7,1-0.7),
          IF(F8=1,0.7,1-0.7),
          IF(G8=1,0.7,1-0.7)) * M8</f>
        <v>0</v>
      </c>
      <c r="K8" s="6" t="n">
        <f aca="false">PRODUCT(IF(B8=1,0.8,1-0.8),IF(A8=1,0.8,1-0.8),
          IF(C8=1,0.8,1-0.8),
          IF(D8=1,0.8,1-0.8),
          IF(E8=1,0.8,1-0.8),
          IF(F8=1,0.8,1-0.8),
          IF(G8=1,0.8,1-0.8)) * M8</f>
        <v>0</v>
      </c>
      <c r="L8" s="6" t="n">
        <f aca="false">PRODUCT(IF(B8=1,0.9,1-0.9), IF(A8=1,0.9,1-0.9),
          IF(C8=1,0.9,1-0.9),
          IF(D8=1,0.9,1-0.9),
          IF(E8=1,0.9,1-0.9),
          IF(F8=1,0.9,1-0.9),
          IF(G8=1,0.9,1-0.9)) * M8</f>
        <v>0</v>
      </c>
      <c r="M8" s="2" t="n">
        <f aca="false">IF(C8=1,1,IF(AND(B8=1,A8=1,G8=1,D8=1),1,IF(AND(B8=1,A8=1,F8=1,D8=1,E8=1)
,1,0)))</f>
        <v>0</v>
      </c>
    </row>
    <row r="9" customFormat="false" ht="14.25" hidden="false" customHeight="false" outlineLevel="0" collapsed="false">
      <c r="A9" s="2" t="n">
        <v>0</v>
      </c>
      <c r="B9" s="2" t="n">
        <v>0</v>
      </c>
      <c r="C9" s="2" t="n">
        <v>0</v>
      </c>
      <c r="D9" s="2" t="n">
        <v>0</v>
      </c>
      <c r="E9" s="2" t="n">
        <v>1</v>
      </c>
      <c r="F9" s="2" t="n">
        <v>0</v>
      </c>
      <c r="G9" s="2" t="n">
        <v>1</v>
      </c>
      <c r="H9" s="1" t="n">
        <f aca="false"> ((($A9*$A$2)+(1-$A$2)*(1-$A9))* (($B9*$B$2)+(1-$B$2)*(1-$B9)) *(($C9*$C$2)+(1-
$C$2)*(1-$C9))* (($D9*$D$2)+(1-$D$2)*(1-$D9))* (($E9*$E$2)+(1-$E$2)*(1-$E9))*
(($F9*$F$2)+(1-$F$2)*(1-$F9))* (($G9*$G$2)+(1-$G$2)*(1-$G9)))*$M9</f>
        <v>0</v>
      </c>
      <c r="I9" s="6" t="n">
        <f aca="false">PRODUCT(IF(B9=1,0.6,1-0.6), IF(A9=1,0.6,1-0.6),
        IF(C9=1,0.6,1-0.6),
        IF(D9=1,0.6,1-0.6),
        IF(E9=1,0.6,1-0.6),
        IF(F9=1,0.6,1-0.6),
        IF(G9=1,0.6,1-0.6)) * M9</f>
        <v>0</v>
      </c>
      <c r="J9" s="6" t="n">
        <f aca="false">PRODUCT(IF(B9=1,0.7,1-0.7), IF(A9=1,0.7,1-0.7),
          IF(C9=1,0.7,1-0.7),
          IF(D9=1,0.7,1-0.7),
          IF(E9=1,0.7,1-0.7),
          IF(F9=1,0.7,1-0.7),
          IF(G9=1,0.7,1-0.7)) * M9</f>
        <v>0</v>
      </c>
      <c r="K9" s="6" t="n">
        <f aca="false">PRODUCT(IF(B9=1,0.8,1-0.8),IF(A9=1,0.8,1-0.8),
          IF(C9=1,0.8,1-0.8),
          IF(D9=1,0.8,1-0.8),
          IF(E9=1,0.8,1-0.8),
          IF(F9=1,0.8,1-0.8),
          IF(G9=1,0.8,1-0.8)) * M9</f>
        <v>0</v>
      </c>
      <c r="L9" s="6" t="n">
        <f aca="false">PRODUCT(IF(B9=1,0.9,1-0.9), IF(A9=1,0.9,1-0.9),
          IF(C9=1,0.9,1-0.9),
          IF(D9=1,0.9,1-0.9),
          IF(E9=1,0.9,1-0.9),
          IF(F9=1,0.9,1-0.9),
          IF(G9=1,0.9,1-0.9)) * M9</f>
        <v>0</v>
      </c>
      <c r="M9" s="2" t="n">
        <f aca="false">IF(C9=1,1,IF(AND(B9=1,A9=1,G9=1,D9=1),1,IF(AND(B9=1,A9=1,F9=1,D9=1,E9=1)
,1,0)))</f>
        <v>0</v>
      </c>
    </row>
    <row r="10" customFormat="false" ht="14.25" hidden="false" customHeight="false" outlineLevel="0" collapsed="false">
      <c r="A10" s="2" t="n">
        <v>0</v>
      </c>
      <c r="B10" s="2" t="n">
        <v>0</v>
      </c>
      <c r="C10" s="2" t="n">
        <v>0</v>
      </c>
      <c r="D10" s="2" t="n">
        <v>0</v>
      </c>
      <c r="E10" s="2" t="n">
        <v>1</v>
      </c>
      <c r="F10" s="2" t="n">
        <v>1</v>
      </c>
      <c r="G10" s="2" t="n">
        <v>0</v>
      </c>
      <c r="H10" s="1" t="n">
        <f aca="false"> ((($A10*$A$2)+(1-$A$2)*(1-$A10))* (($B10*$B$2)+(1-$B$2)*(1-$B10)) *(($C10*$C$2)+(1-
$C$2)*(1-$C10))* (($D10*$D$2)+(1-$D$2)*(1-$D10))* (($E10*$E$2)+(1-$E$2)*(1-$E10))*
(($F10*$F$2)+(1-$F$2)*(1-$F10))* (($G10*$G$2)+(1-$G$2)*(1-$G10)))*$M10</f>
        <v>0</v>
      </c>
      <c r="I10" s="6" t="n">
        <f aca="false">PRODUCT(IF(B10=1,0.6,1-0.6), IF(A10=1,0.6,1-0.6),
        IF(C10=1,0.6,1-0.6),
        IF(D10=1,0.6,1-0.6),
        IF(E10=1,0.6,1-0.6),
        IF(F10=1,0.6,1-0.6),
        IF(G10=1,0.6,1-0.6)) * M10</f>
        <v>0</v>
      </c>
      <c r="J10" s="6" t="n">
        <f aca="false">PRODUCT(IF(B10=1,0.7,1-0.7), IF(A10=1,0.7,1-0.7),
          IF(C10=1,0.7,1-0.7),
          IF(D10=1,0.7,1-0.7),
          IF(E10=1,0.7,1-0.7),
          IF(F10=1,0.7,1-0.7),
          IF(G10=1,0.7,1-0.7)) * M10</f>
        <v>0</v>
      </c>
      <c r="K10" s="6" t="n">
        <f aca="false">PRODUCT(IF(B10=1,0.8,1-0.8),IF(A10=1,0.8,1-0.8),
          IF(C10=1,0.8,1-0.8),
          IF(D10=1,0.8,1-0.8),
          IF(E10=1,0.8,1-0.8),
          IF(F10=1,0.8,1-0.8),
          IF(G10=1,0.8,1-0.8)) * M10</f>
        <v>0</v>
      </c>
      <c r="L10" s="6" t="n">
        <f aca="false">PRODUCT(IF(B10=1,0.9,1-0.9), IF(A10=1,0.9,1-0.9),
          IF(C10=1,0.9,1-0.9),
          IF(D10=1,0.9,1-0.9),
          IF(E10=1,0.9,1-0.9),
          IF(F10=1,0.9,1-0.9),
          IF(G10=1,0.9,1-0.9)) * M10</f>
        <v>0</v>
      </c>
      <c r="M10" s="2" t="n">
        <f aca="false">IF(C10=1,1,IF(AND(B10=1,A10=1,G10=1,D10=1),1,IF(AND(B10=1,A10=1,F10=1,D10=1,E10=1)
,1,0)))</f>
        <v>0</v>
      </c>
    </row>
    <row r="11" customFormat="false" ht="14.25" hidden="false" customHeight="false" outlineLevel="0" collapsed="false">
      <c r="A11" s="2" t="n">
        <v>0</v>
      </c>
      <c r="B11" s="2" t="n">
        <v>0</v>
      </c>
      <c r="C11" s="2" t="n">
        <v>0</v>
      </c>
      <c r="D11" s="2" t="n">
        <v>0</v>
      </c>
      <c r="E11" s="2" t="n">
        <v>1</v>
      </c>
      <c r="F11" s="2" t="n">
        <v>1</v>
      </c>
      <c r="G11" s="2" t="n">
        <v>1</v>
      </c>
      <c r="H11" s="1" t="n">
        <f aca="false"> ((($A11*$A$2)+(1-$A$2)*(1-$A11))* (($B11*$B$2)+(1-$B$2)*(1-$B11)) *(($C11*$C$2)+(1-
$C$2)*(1-$C11))* (($D11*$D$2)+(1-$D$2)*(1-$D11))* (($E11*$E$2)+(1-$E$2)*(1-$E11))*
(($F11*$F$2)+(1-$F$2)*(1-$F11))* (($G11*$G$2)+(1-$G$2)*(1-$G11)))*$M11</f>
        <v>0</v>
      </c>
      <c r="I11" s="6" t="n">
        <f aca="false">PRODUCT(IF(B11=1,0.6,1-0.6), IF(A11=1,0.6,1-0.6),
        IF(C11=1,0.6,1-0.6),
        IF(D11=1,0.6,1-0.6),
        IF(E11=1,0.6,1-0.6),
        IF(F11=1,0.6,1-0.6),
        IF(G11=1,0.6,1-0.6)) * M11</f>
        <v>0</v>
      </c>
      <c r="J11" s="6" t="n">
        <f aca="false">PRODUCT(IF(B11=1,0.7,1-0.7), IF(A11=1,0.7,1-0.7),
          IF(C11=1,0.7,1-0.7),
          IF(D11=1,0.7,1-0.7),
          IF(E11=1,0.7,1-0.7),
          IF(F11=1,0.7,1-0.7),
          IF(G11=1,0.7,1-0.7)) * M11</f>
        <v>0</v>
      </c>
      <c r="K11" s="6" t="n">
        <f aca="false">PRODUCT(IF(B11=1,0.8,1-0.8),IF(A11=1,0.8,1-0.8),
          IF(C11=1,0.8,1-0.8),
          IF(D11=1,0.8,1-0.8),
          IF(E11=1,0.8,1-0.8),
          IF(F11=1,0.8,1-0.8),
          IF(G11=1,0.8,1-0.8)) * M11</f>
        <v>0</v>
      </c>
      <c r="L11" s="6" t="n">
        <f aca="false">PRODUCT(IF(B11=1,0.9,1-0.9), IF(A11=1,0.9,1-0.9),
          IF(C11=1,0.9,1-0.9),
          IF(D11=1,0.9,1-0.9),
          IF(E11=1,0.9,1-0.9),
          IF(F11=1,0.9,1-0.9),
          IF(G11=1,0.9,1-0.9)) * M11</f>
        <v>0</v>
      </c>
      <c r="M11" s="2" t="n">
        <f aca="false">IF(C11=1,1,IF(AND(B11=1,A11=1,G11=1,D11=1),1,IF(AND(B11=1,A11=1,F11=1,D11=1,E11=1)
,1,0)))</f>
        <v>0</v>
      </c>
    </row>
    <row r="12" customFormat="false" ht="14.25" hidden="false" customHeight="false" outlineLevel="0" collapsed="false">
      <c r="A12" s="2" t="n">
        <v>0</v>
      </c>
      <c r="B12" s="2" t="n">
        <v>0</v>
      </c>
      <c r="C12" s="2" t="n">
        <v>0</v>
      </c>
      <c r="D12" s="2" t="n">
        <v>1</v>
      </c>
      <c r="E12" s="2" t="n">
        <v>0</v>
      </c>
      <c r="F12" s="2" t="n">
        <v>0</v>
      </c>
      <c r="G12" s="2" t="n">
        <v>0</v>
      </c>
      <c r="H12" s="1" t="n">
        <f aca="false"> ((($A12*$A$2)+(1-$A$2)*(1-$A12))* (($B12*$B$2)+(1-$B$2)*(1-$B12)) *(($C12*$C$2)+(1-
$C$2)*(1-$C12))* (($D12*$D$2)+(1-$D$2)*(1-$D12))* (($E12*$E$2)+(1-$E$2)*(1-$E12))*
(($F12*$F$2)+(1-$F$2)*(1-$F12))* (($G12*$G$2)+(1-$G$2)*(1-$G12)))*$M12</f>
        <v>0</v>
      </c>
      <c r="I12" s="6" t="n">
        <f aca="false">PRODUCT(IF(B12=1,0.6,1-0.6), IF(A12=1,0.6,1-0.6),
        IF(C12=1,0.6,1-0.6),
        IF(D12=1,0.6,1-0.6),
        IF(E12=1,0.6,1-0.6),
        IF(F12=1,0.6,1-0.6),
        IF(G12=1,0.6,1-0.6)) * M12</f>
        <v>0</v>
      </c>
      <c r="J12" s="6" t="n">
        <f aca="false">PRODUCT(IF(B12=1,0.7,1-0.7), IF(A12=1,0.7,1-0.7),
          IF(C12=1,0.7,1-0.7),
          IF(D12=1,0.7,1-0.7),
          IF(E12=1,0.7,1-0.7),
          IF(F12=1,0.7,1-0.7),
          IF(G12=1,0.7,1-0.7)) * M12</f>
        <v>0</v>
      </c>
      <c r="K12" s="6" t="n">
        <f aca="false">PRODUCT(IF(B12=1,0.8,1-0.8),IF(A12=1,0.8,1-0.8),
          IF(C12=1,0.8,1-0.8),
          IF(D12=1,0.8,1-0.8),
          IF(E12=1,0.8,1-0.8),
          IF(F12=1,0.8,1-0.8),
          IF(G12=1,0.8,1-0.8)) * M12</f>
        <v>0</v>
      </c>
      <c r="L12" s="6" t="n">
        <f aca="false">PRODUCT(IF(B12=1,0.9,1-0.9), IF(A12=1,0.9,1-0.9),
          IF(C12=1,0.9,1-0.9),
          IF(D12=1,0.9,1-0.9),
          IF(E12=1,0.9,1-0.9),
          IF(F12=1,0.9,1-0.9),
          IF(G12=1,0.9,1-0.9)) * M12</f>
        <v>0</v>
      </c>
      <c r="M12" s="2" t="n">
        <f aca="false">IF(C12=1,1,IF(AND(B12=1,A12=1,G12=1,D12=1),1,IF(AND(B12=1,A12=1,F12=1,D12=1,E12=1)
,1,0)))</f>
        <v>0</v>
      </c>
    </row>
    <row r="13" customFormat="false" ht="14.25" hidden="false" customHeight="false" outlineLevel="0" collapsed="false">
      <c r="A13" s="2" t="n">
        <v>0</v>
      </c>
      <c r="B13" s="2" t="n">
        <v>0</v>
      </c>
      <c r="C13" s="2" t="n">
        <v>0</v>
      </c>
      <c r="D13" s="2" t="n">
        <v>1</v>
      </c>
      <c r="E13" s="2" t="n">
        <v>0</v>
      </c>
      <c r="F13" s="2" t="n">
        <v>0</v>
      </c>
      <c r="G13" s="2" t="n">
        <v>1</v>
      </c>
      <c r="H13" s="1" t="n">
        <f aca="false"> ((($A13*$A$2)+(1-$A$2)*(1-$A13))* (($B13*$B$2)+(1-$B$2)*(1-$B13)) *(($C13*$C$2)+(1-
$C$2)*(1-$C13))* (($D13*$D$2)+(1-$D$2)*(1-$D13))* (($E13*$E$2)+(1-$E$2)*(1-$E13))*
(($F13*$F$2)+(1-$F$2)*(1-$F13))* (($G13*$G$2)+(1-$G$2)*(1-$G13)))*$M13</f>
        <v>0</v>
      </c>
      <c r="I13" s="6" t="n">
        <f aca="false">PRODUCT(IF(B13=1,0.6,1-0.6), IF(A13=1,0.6,1-0.6),
        IF(C13=1,0.6,1-0.6),
        IF(D13=1,0.6,1-0.6),
        IF(E13=1,0.6,1-0.6),
        IF(F13=1,0.6,1-0.6),
        IF(G13=1,0.6,1-0.6)) * M13</f>
        <v>0</v>
      </c>
      <c r="J13" s="6" t="n">
        <f aca="false">PRODUCT(IF(B13=1,0.7,1-0.7), IF(A13=1,0.7,1-0.7),
          IF(C13=1,0.7,1-0.7),
          IF(D13=1,0.7,1-0.7),
          IF(E13=1,0.7,1-0.7),
          IF(F13=1,0.7,1-0.7),
          IF(G13=1,0.7,1-0.7)) * M13</f>
        <v>0</v>
      </c>
      <c r="K13" s="6" t="n">
        <f aca="false">PRODUCT(IF(B13=1,0.8,1-0.8),IF(A13=1,0.8,1-0.8),
          IF(C13=1,0.8,1-0.8),
          IF(D13=1,0.8,1-0.8),
          IF(E13=1,0.8,1-0.8),
          IF(F13=1,0.8,1-0.8),
          IF(G13=1,0.8,1-0.8)) * M13</f>
        <v>0</v>
      </c>
      <c r="L13" s="6" t="n">
        <f aca="false">PRODUCT(IF(B13=1,0.9,1-0.9), IF(A13=1,0.9,1-0.9),
          IF(C13=1,0.9,1-0.9),
          IF(D13=1,0.9,1-0.9),
          IF(E13=1,0.9,1-0.9),
          IF(F13=1,0.9,1-0.9),
          IF(G13=1,0.9,1-0.9)) * M13</f>
        <v>0</v>
      </c>
      <c r="M13" s="2" t="n">
        <f aca="false">IF(C13=1,1,IF(AND(B13=1,A13=1,G13=1,D13=1),1,IF(AND(B13=1,A13=1,F13=1,D13=1,E13=1)
,1,0)))</f>
        <v>0</v>
      </c>
    </row>
    <row r="14" customFormat="false" ht="14.25" hidden="false" customHeight="false" outlineLevel="0" collapsed="false">
      <c r="A14" s="2" t="n">
        <v>0</v>
      </c>
      <c r="B14" s="2" t="n">
        <v>0</v>
      </c>
      <c r="C14" s="2" t="n">
        <v>0</v>
      </c>
      <c r="D14" s="2" t="n">
        <v>1</v>
      </c>
      <c r="E14" s="2" t="n">
        <v>0</v>
      </c>
      <c r="F14" s="2" t="n">
        <v>1</v>
      </c>
      <c r="G14" s="2" t="n">
        <v>0</v>
      </c>
      <c r="H14" s="1" t="n">
        <f aca="false"> ((($A14*$A$2)+(1-$A$2)*(1-$A14))* (($B14*$B$2)+(1-$B$2)*(1-$B14)) *(($C14*$C$2)+(1-
$C$2)*(1-$C14))* (($D14*$D$2)+(1-$D$2)*(1-$D14))* (($E14*$E$2)+(1-$E$2)*(1-$E14))*
(($F14*$F$2)+(1-$F$2)*(1-$F14))* (($G14*$G$2)+(1-$G$2)*(1-$G14)))*$M14</f>
        <v>0</v>
      </c>
      <c r="I14" s="6" t="n">
        <f aca="false">PRODUCT(IF(B14=1,0.6,1-0.6), IF(A14=1,0.6,1-0.6),
        IF(C14=1,0.6,1-0.6),
        IF(D14=1,0.6,1-0.6),
        IF(E14=1,0.6,1-0.6),
        IF(F14=1,0.6,1-0.6),
        IF(G14=1,0.6,1-0.6)) * M14</f>
        <v>0</v>
      </c>
      <c r="J14" s="6" t="n">
        <f aca="false">PRODUCT(IF(B14=1,0.7,1-0.7), IF(A14=1,0.7,1-0.7),
          IF(C14=1,0.7,1-0.7),
          IF(D14=1,0.7,1-0.7),
          IF(E14=1,0.7,1-0.7),
          IF(F14=1,0.7,1-0.7),
          IF(G14=1,0.7,1-0.7)) * M14</f>
        <v>0</v>
      </c>
      <c r="K14" s="6" t="n">
        <f aca="false">PRODUCT(IF(B14=1,0.8,1-0.8),IF(A14=1,0.8,1-0.8),
          IF(C14=1,0.8,1-0.8),
          IF(D14=1,0.8,1-0.8),
          IF(E14=1,0.8,1-0.8),
          IF(F14=1,0.8,1-0.8),
          IF(G14=1,0.8,1-0.8)) * M14</f>
        <v>0</v>
      </c>
      <c r="L14" s="6" t="n">
        <f aca="false">PRODUCT(IF(B14=1,0.9,1-0.9), IF(A14=1,0.9,1-0.9),
          IF(C14=1,0.9,1-0.9),
          IF(D14=1,0.9,1-0.9),
          IF(E14=1,0.9,1-0.9),
          IF(F14=1,0.9,1-0.9),
          IF(G14=1,0.9,1-0.9)) * M14</f>
        <v>0</v>
      </c>
      <c r="M14" s="2" t="n">
        <f aca="false">IF(C14=1,1,IF(AND(B14=1,A14=1,G14=1,D14=1),1,IF(AND(B14=1,A14=1,F14=1,D14=1,E14=1)
,1,0)))</f>
        <v>0</v>
      </c>
    </row>
    <row r="15" customFormat="false" ht="14.25" hidden="false" customHeight="false" outlineLevel="0" collapsed="false">
      <c r="A15" s="2" t="n">
        <v>0</v>
      </c>
      <c r="B15" s="2" t="n">
        <v>0</v>
      </c>
      <c r="C15" s="2" t="n">
        <v>0</v>
      </c>
      <c r="D15" s="2" t="n">
        <v>1</v>
      </c>
      <c r="E15" s="2" t="n">
        <v>0</v>
      </c>
      <c r="F15" s="2" t="n">
        <v>1</v>
      </c>
      <c r="G15" s="2" t="n">
        <v>1</v>
      </c>
      <c r="H15" s="1" t="n">
        <f aca="false"> ((($A15*$A$2)+(1-$A$2)*(1-$A15))* (($B15*$B$2)+(1-$B$2)*(1-$B15)) *(($C15*$C$2)+(1-
$C$2)*(1-$C15))* (($D15*$D$2)+(1-$D$2)*(1-$D15))* (($E15*$E$2)+(1-$E$2)*(1-$E15))*
(($F15*$F$2)+(1-$F$2)*(1-$F15))* (($G15*$G$2)+(1-$G$2)*(1-$G15)))*$M15</f>
        <v>0</v>
      </c>
      <c r="I15" s="6" t="n">
        <f aca="false">PRODUCT(IF(B15=1,0.6,1-0.6), IF(A15=1,0.6,1-0.6),
        IF(C15=1,0.6,1-0.6),
        IF(D15=1,0.6,1-0.6),
        IF(E15=1,0.6,1-0.6),
        IF(F15=1,0.6,1-0.6),
        IF(G15=1,0.6,1-0.6)) * M15</f>
        <v>0</v>
      </c>
      <c r="J15" s="6" t="n">
        <f aca="false">PRODUCT(IF(B15=1,0.7,1-0.7), IF(A15=1,0.7,1-0.7),
          IF(C15=1,0.7,1-0.7),
          IF(D15=1,0.7,1-0.7),
          IF(E15=1,0.7,1-0.7),
          IF(F15=1,0.7,1-0.7),
          IF(G15=1,0.7,1-0.7)) * M15</f>
        <v>0</v>
      </c>
      <c r="K15" s="6" t="n">
        <f aca="false">PRODUCT(IF(B15=1,0.8,1-0.8),IF(A15=1,0.8,1-0.8),
          IF(C15=1,0.8,1-0.8),
          IF(D15=1,0.8,1-0.8),
          IF(E15=1,0.8,1-0.8),
          IF(F15=1,0.8,1-0.8),
          IF(G15=1,0.8,1-0.8)) * M15</f>
        <v>0</v>
      </c>
      <c r="L15" s="6" t="n">
        <f aca="false">PRODUCT(IF(B15=1,0.9,1-0.9), IF(A15=1,0.9,1-0.9),
          IF(C15=1,0.9,1-0.9),
          IF(D15=1,0.9,1-0.9),
          IF(E15=1,0.9,1-0.9),
          IF(F15=1,0.9,1-0.9),
          IF(G15=1,0.9,1-0.9)) * M15</f>
        <v>0</v>
      </c>
      <c r="M15" s="2" t="n">
        <f aca="false">IF(C15=1,1,IF(AND(B15=1,A15=1,G15=1,D15=1),1,IF(AND(B15=1,A15=1,F15=1,D15=1,E15=1)
,1,0)))</f>
        <v>0</v>
      </c>
    </row>
    <row r="16" customFormat="false" ht="14.25" hidden="false" customHeight="false" outlineLevel="0" collapsed="false">
      <c r="A16" s="2" t="n">
        <v>0</v>
      </c>
      <c r="B16" s="2" t="n">
        <v>0</v>
      </c>
      <c r="C16" s="2" t="n">
        <v>0</v>
      </c>
      <c r="D16" s="2" t="n">
        <v>1</v>
      </c>
      <c r="E16" s="2" t="n">
        <v>1</v>
      </c>
      <c r="F16" s="2" t="n">
        <v>0</v>
      </c>
      <c r="G16" s="2" t="n">
        <v>0</v>
      </c>
      <c r="H16" s="1" t="n">
        <f aca="false"> ((($A16*$A$2)+(1-$A$2)*(1-$A16))* (($B16*$B$2)+(1-$B$2)*(1-$B16)) *(($C16*$C$2)+(1-
$C$2)*(1-$C16))* (($D16*$D$2)+(1-$D$2)*(1-$D16))* (($E16*$E$2)+(1-$E$2)*(1-$E16))*
(($F16*$F$2)+(1-$F$2)*(1-$F16))* (($G16*$G$2)+(1-$G$2)*(1-$G16)))*$M16</f>
        <v>0</v>
      </c>
      <c r="I16" s="6" t="n">
        <f aca="false">PRODUCT(IF(B16=1,0.6,1-0.6), IF(A16=1,0.6,1-0.6),
        IF(C16=1,0.6,1-0.6),
        IF(D16=1,0.6,1-0.6),
        IF(E16=1,0.6,1-0.6),
        IF(F16=1,0.6,1-0.6),
        IF(G16=1,0.6,1-0.6)) * M16</f>
        <v>0</v>
      </c>
      <c r="J16" s="6" t="n">
        <f aca="false">PRODUCT(IF(B16=1,0.7,1-0.7), IF(A16=1,0.7,1-0.7),
          IF(C16=1,0.7,1-0.7),
          IF(D16=1,0.7,1-0.7),
          IF(E16=1,0.7,1-0.7),
          IF(F16=1,0.7,1-0.7),
          IF(G16=1,0.7,1-0.7)) * M16</f>
        <v>0</v>
      </c>
      <c r="K16" s="6" t="n">
        <f aca="false">PRODUCT(IF(B16=1,0.8,1-0.8),IF(A16=1,0.8,1-0.8),
          IF(C16=1,0.8,1-0.8),
          IF(D16=1,0.8,1-0.8),
          IF(E16=1,0.8,1-0.8),
          IF(F16=1,0.8,1-0.8),
          IF(G16=1,0.8,1-0.8)) * M16</f>
        <v>0</v>
      </c>
      <c r="L16" s="6" t="n">
        <f aca="false">PRODUCT(IF(B16=1,0.9,1-0.9), IF(A16=1,0.9,1-0.9),
          IF(C16=1,0.9,1-0.9),
          IF(D16=1,0.9,1-0.9),
          IF(E16=1,0.9,1-0.9),
          IF(F16=1,0.9,1-0.9),
          IF(G16=1,0.9,1-0.9)) * M16</f>
        <v>0</v>
      </c>
      <c r="M16" s="2" t="n">
        <f aca="false">IF(C16=1,1,IF(AND(B16=1,A16=1,G16=1,D16=1),1,IF(AND(B16=1,A16=1,F16=1,D16=1,E16=1)
,1,0)))</f>
        <v>0</v>
      </c>
    </row>
    <row r="17" customFormat="false" ht="14.25" hidden="false" customHeight="false" outlineLevel="0" collapsed="false">
      <c r="A17" s="2" t="n">
        <v>0</v>
      </c>
      <c r="B17" s="2" t="n">
        <v>0</v>
      </c>
      <c r="C17" s="2" t="n">
        <v>0</v>
      </c>
      <c r="D17" s="2" t="n">
        <v>1</v>
      </c>
      <c r="E17" s="2" t="n">
        <v>1</v>
      </c>
      <c r="F17" s="2" t="n">
        <v>0</v>
      </c>
      <c r="G17" s="2" t="n">
        <v>1</v>
      </c>
      <c r="H17" s="1" t="n">
        <f aca="false"> ((($A17*$A$2)+(1-$A$2)*(1-$A17))* (($B17*$B$2)+(1-$B$2)*(1-$B17)) *(($C17*$C$2)+(1-
$C$2)*(1-$C17))* (($D17*$D$2)+(1-$D$2)*(1-$D17))* (($E17*$E$2)+(1-$E$2)*(1-$E17))*
(($F17*$F$2)+(1-$F$2)*(1-$F17))* (($G17*$G$2)+(1-$G$2)*(1-$G17)))*$M17</f>
        <v>0</v>
      </c>
      <c r="I17" s="6" t="n">
        <f aca="false">PRODUCT(IF(B17=1,0.6,1-0.6), IF(A17=1,0.6,1-0.6),
        IF(C17=1,0.6,1-0.6),
        IF(D17=1,0.6,1-0.6),
        IF(E17=1,0.6,1-0.6),
        IF(F17=1,0.6,1-0.6),
        IF(G17=1,0.6,1-0.6)) * M17</f>
        <v>0</v>
      </c>
      <c r="J17" s="6" t="n">
        <f aca="false">PRODUCT(IF(B17=1,0.7,1-0.7), IF(A17=1,0.7,1-0.7),
          IF(C17=1,0.7,1-0.7),
          IF(D17=1,0.7,1-0.7),
          IF(E17=1,0.7,1-0.7),
          IF(F17=1,0.7,1-0.7),
          IF(G17=1,0.7,1-0.7)) * M17</f>
        <v>0</v>
      </c>
      <c r="K17" s="6" t="n">
        <f aca="false">PRODUCT(IF(B17=1,0.8,1-0.8),IF(A17=1,0.8,1-0.8),
          IF(C17=1,0.8,1-0.8),
          IF(D17=1,0.8,1-0.8),
          IF(E17=1,0.8,1-0.8),
          IF(F17=1,0.8,1-0.8),
          IF(G17=1,0.8,1-0.8)) * M17</f>
        <v>0</v>
      </c>
      <c r="L17" s="6" t="n">
        <f aca="false">PRODUCT(IF(B17=1,0.9,1-0.9), IF(A17=1,0.9,1-0.9),
          IF(C17=1,0.9,1-0.9),
          IF(D17=1,0.9,1-0.9),
          IF(E17=1,0.9,1-0.9),
          IF(F17=1,0.9,1-0.9),
          IF(G17=1,0.9,1-0.9)) * M17</f>
        <v>0</v>
      </c>
      <c r="M17" s="2" t="n">
        <f aca="false">IF(C17=1,1,IF(AND(B17=1,A17=1,G17=1,D17=1),1,IF(AND(B17=1,A17=1,F17=1,D17=1,E17=1)
,1,0)))</f>
        <v>0</v>
      </c>
    </row>
    <row r="18" customFormat="false" ht="14.25" hidden="false" customHeight="false" outlineLevel="0" collapsed="false">
      <c r="A18" s="2" t="n">
        <v>0</v>
      </c>
      <c r="B18" s="2" t="n">
        <v>0</v>
      </c>
      <c r="C18" s="2" t="n">
        <v>0</v>
      </c>
      <c r="D18" s="2" t="n">
        <v>1</v>
      </c>
      <c r="E18" s="2" t="n">
        <v>1</v>
      </c>
      <c r="F18" s="2" t="n">
        <v>1</v>
      </c>
      <c r="G18" s="2" t="n">
        <v>0</v>
      </c>
      <c r="H18" s="1" t="n">
        <f aca="false"> ((($A18*$A$2)+(1-$A$2)*(1-$A18))* (($B18*$B$2)+(1-$B$2)*(1-$B18)) *(($C18*$C$2)+(1-
$C$2)*(1-$C18))* (($D18*$D$2)+(1-$D$2)*(1-$D18))* (($E18*$E$2)+(1-$E$2)*(1-$E18))*
(($F18*$F$2)+(1-$F$2)*(1-$F18))* (($G18*$G$2)+(1-$G$2)*(1-$G18)))*$M18</f>
        <v>0</v>
      </c>
      <c r="I18" s="6" t="n">
        <f aca="false">PRODUCT(IF(B18=1,0.6,1-0.6), IF(A18=1,0.6,1-0.6),
        IF(C18=1,0.6,1-0.6),
        IF(D18=1,0.6,1-0.6),
        IF(E18=1,0.6,1-0.6),
        IF(F18=1,0.6,1-0.6),
        IF(G18=1,0.6,1-0.6)) * M18</f>
        <v>0</v>
      </c>
      <c r="J18" s="6" t="n">
        <f aca="false">PRODUCT(IF(B18=1,0.7,1-0.7), IF(A18=1,0.7,1-0.7),
          IF(C18=1,0.7,1-0.7),
          IF(D18=1,0.7,1-0.7),
          IF(E18=1,0.7,1-0.7),
          IF(F18=1,0.7,1-0.7),
          IF(G18=1,0.7,1-0.7)) * M18</f>
        <v>0</v>
      </c>
      <c r="K18" s="6" t="n">
        <f aca="false">PRODUCT(IF(B18=1,0.8,1-0.8),IF(A18=1,0.8,1-0.8),
          IF(C18=1,0.8,1-0.8),
          IF(D18=1,0.8,1-0.8),
          IF(E18=1,0.8,1-0.8),
          IF(F18=1,0.8,1-0.8),
          IF(G18=1,0.8,1-0.8)) * M18</f>
        <v>0</v>
      </c>
      <c r="L18" s="6" t="n">
        <f aca="false">PRODUCT(IF(B18=1,0.9,1-0.9), IF(A18=1,0.9,1-0.9),
          IF(C18=1,0.9,1-0.9),
          IF(D18=1,0.9,1-0.9),
          IF(E18=1,0.9,1-0.9),
          IF(F18=1,0.9,1-0.9),
          IF(G18=1,0.9,1-0.9)) * M18</f>
        <v>0</v>
      </c>
      <c r="M18" s="2" t="n">
        <f aca="false">IF(C18=1,1,IF(AND(B18=1,A18=1,G18=1,D18=1),1,IF(AND(B18=1,A18=1,F18=1,D18=1,E18=1)
,1,0)))</f>
        <v>0</v>
      </c>
    </row>
    <row r="19" customFormat="false" ht="14.25" hidden="false" customHeight="false" outlineLevel="0" collapsed="false">
      <c r="A19" s="2" t="n">
        <v>0</v>
      </c>
      <c r="B19" s="2" t="n">
        <v>0</v>
      </c>
      <c r="C19" s="2" t="n">
        <v>0</v>
      </c>
      <c r="D19" s="2" t="n">
        <v>1</v>
      </c>
      <c r="E19" s="2" t="n">
        <v>1</v>
      </c>
      <c r="F19" s="2" t="n">
        <v>1</v>
      </c>
      <c r="G19" s="2" t="n">
        <v>1</v>
      </c>
      <c r="H19" s="1" t="n">
        <f aca="false"> ((($A19*$A$2)+(1-$A$2)*(1-$A19))* (($B19*$B$2)+(1-$B$2)*(1-$B19)) *(($C19*$C$2)+(1-
$C$2)*(1-$C19))* (($D19*$D$2)+(1-$D$2)*(1-$D19))* (($E19*$E$2)+(1-$E$2)*(1-$E19))*
(($F19*$F$2)+(1-$F$2)*(1-$F19))* (($G19*$G$2)+(1-$G$2)*(1-$G19)))*$M19</f>
        <v>0</v>
      </c>
      <c r="I19" s="6" t="n">
        <f aca="false">PRODUCT(IF(B19=1,0.6,1-0.6), IF(A19=1,0.6,1-0.6),
        IF(C19=1,0.6,1-0.6),
        IF(D19=1,0.6,1-0.6),
        IF(E19=1,0.6,1-0.6),
        IF(F19=1,0.6,1-0.6),
        IF(G19=1,0.6,1-0.6)) * M19</f>
        <v>0</v>
      </c>
      <c r="J19" s="6" t="n">
        <f aca="false">PRODUCT(IF(B19=1,0.7,1-0.7), IF(A19=1,0.7,1-0.7),
          IF(C19=1,0.7,1-0.7),
          IF(D19=1,0.7,1-0.7),
          IF(E19=1,0.7,1-0.7),
          IF(F19=1,0.7,1-0.7),
          IF(G19=1,0.7,1-0.7)) * M19</f>
        <v>0</v>
      </c>
      <c r="K19" s="6" t="n">
        <f aca="false">PRODUCT(IF(B19=1,0.8,1-0.8),IF(A19=1,0.8,1-0.8),
          IF(C19=1,0.8,1-0.8),
          IF(D19=1,0.8,1-0.8),
          IF(E19=1,0.8,1-0.8),
          IF(F19=1,0.8,1-0.8),
          IF(G19=1,0.8,1-0.8)) * M19</f>
        <v>0</v>
      </c>
      <c r="L19" s="6" t="n">
        <f aca="false">PRODUCT(IF(B19=1,0.9,1-0.9), IF(A19=1,0.9,1-0.9),
          IF(C19=1,0.9,1-0.9),
          IF(D19=1,0.9,1-0.9),
          IF(E19=1,0.9,1-0.9),
          IF(F19=1,0.9,1-0.9),
          IF(G19=1,0.9,1-0.9)) * M19</f>
        <v>0</v>
      </c>
      <c r="M19" s="2" t="n">
        <f aca="false">IF(C19=1,1,IF(AND(B19=1,A19=1,G19=1,D19=1),1,IF(AND(B19=1,A19=1,F19=1,D19=1,E19=1)
,1,0)))</f>
        <v>0</v>
      </c>
    </row>
    <row r="20" customFormat="false" ht="14.25" hidden="false" customHeight="false" outlineLevel="0" collapsed="false">
      <c r="A20" s="2" t="n">
        <v>0</v>
      </c>
      <c r="B20" s="2" t="n">
        <v>0</v>
      </c>
      <c r="C20" s="2" t="n">
        <v>1</v>
      </c>
      <c r="D20" s="2" t="n">
        <v>0</v>
      </c>
      <c r="E20" s="2" t="n">
        <v>0</v>
      </c>
      <c r="F20" s="2" t="n">
        <v>0</v>
      </c>
      <c r="G20" s="2" t="n">
        <v>0</v>
      </c>
      <c r="H20" s="1" t="n">
        <f aca="false"> ((($A20*$A$2)+(1-$A$2)*(1-$A20))* (($B20*$B$2)+(1-$B$2)*(1-$B20)) *(($C20*$C$2)+(1-
$C$2)*(1-$C20))* (($D20*$D$2)+(1-$D$2)*(1-$D20))* (($E20*$E$2)+(1-$E$2)*(1-$E20))*
(($F20*$F$2)+(1-$F$2)*(1-$F20))* (($G20*$G$2)+(1-$G$2)*(1-$G20)))*$M20</f>
        <v>0.0005103</v>
      </c>
      <c r="I20" s="6" t="n">
        <f aca="false">PRODUCT(IF(B20=1,0.6,1-0.6), IF(A20=1,0.6,1-0.6),
        IF(C20=1,0.6,1-0.6),
        IF(D20=1,0.6,1-0.6),
        IF(E20=1,0.6,1-0.6),
        IF(F20=1,0.6,1-0.6),
        IF(G20=1,0.6,1-0.6)) * M20</f>
        <v>0.0024576</v>
      </c>
      <c r="J20" s="6" t="n">
        <f aca="false">PRODUCT(IF(B20=1,0.7,1-0.7), IF(A20=1,0.7,1-0.7),
          IF(C20=1,0.7,1-0.7),
          IF(D20=1,0.7,1-0.7),
          IF(E20=1,0.7,1-0.7),
          IF(F20=1,0.7,1-0.7),
          IF(G20=1,0.7,1-0.7)) * M20</f>
        <v>0.0005103</v>
      </c>
      <c r="K20" s="6" t="n">
        <f aca="false">PRODUCT(IF(B20=1,0.8,1-0.8),IF(A20=1,0.8,1-0.8),
          IF(C20=1,0.8,1-0.8),
          IF(D20=1,0.8,1-0.8),
          IF(E20=1,0.8,1-0.8),
          IF(F20=1,0.8,1-0.8),
          IF(G20=1,0.8,1-0.8)) * M20</f>
        <v>5.11999999999999E-005</v>
      </c>
      <c r="L20" s="6" t="n">
        <f aca="false">PRODUCT(IF(B20=1,0.9,1-0.9), IF(A20=1,0.9,1-0.9),
          IF(C20=1,0.9,1-0.9),
          IF(D20=1,0.9,1-0.9),
          IF(E20=1,0.9,1-0.9),
          IF(F20=1,0.9,1-0.9),
          IF(G20=1,0.9,1-0.9)) * M20</f>
        <v>8.99999999999999E-007</v>
      </c>
      <c r="M20" s="2" t="n">
        <f aca="false">IF(C20=1,1,IF(AND(B20=1,A20=1,G20=1,D20=1),1,IF(AND(B20=1,A20=1,F20=1,D20=1,E20=1)
,1,0)))</f>
        <v>1</v>
      </c>
    </row>
    <row r="21" customFormat="false" ht="14.25" hidden="false" customHeight="false" outlineLevel="0" collapsed="false">
      <c r="A21" s="2" t="n">
        <v>0</v>
      </c>
      <c r="B21" s="2" t="n">
        <v>0</v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1</v>
      </c>
      <c r="H21" s="1" t="n">
        <f aca="false"> ((($A21*$A$2)+(1-$A$2)*(1-$A21))* (($B21*$B$2)+(1-$B$2)*(1-$B21)) *(($C21*$C$2)+(1-
$C$2)*(1-$C21))* (($D21*$D$2)+(1-$D$2)*(1-$D21))* (($E21*$E$2)+(1-$E$2)*(1-$E21))*
(($F21*$F$2)+(1-$F$2)*(1-$F21))* (($G21*$G$2)+(1-$G$2)*(1-$G21)))*$M21</f>
        <v>0.0011907</v>
      </c>
      <c r="I21" s="6" t="n">
        <f aca="false">PRODUCT(IF(B21=1,0.6,1-0.6), IF(A21=1,0.6,1-0.6),
        IF(C21=1,0.6,1-0.6),
        IF(D21=1,0.6,1-0.6),
        IF(E21=1,0.6,1-0.6),
        IF(F21=1,0.6,1-0.6),
        IF(G21=1,0.6,1-0.6)) * M21</f>
        <v>0.0036864</v>
      </c>
      <c r="J21" s="6" t="n">
        <f aca="false">PRODUCT(IF(B21=1,0.7,1-0.7), IF(A21=1,0.7,1-0.7),
          IF(C21=1,0.7,1-0.7),
          IF(D21=1,0.7,1-0.7),
          IF(E21=1,0.7,1-0.7),
          IF(F21=1,0.7,1-0.7),
          IF(G21=1,0.7,1-0.7)) * M21</f>
        <v>0.0011907</v>
      </c>
      <c r="K21" s="6" t="n">
        <f aca="false">PRODUCT(IF(B21=1,0.8,1-0.8),IF(A21=1,0.8,1-0.8),
          IF(C21=1,0.8,1-0.8),
          IF(D21=1,0.8,1-0.8),
          IF(E21=1,0.8,1-0.8),
          IF(F21=1,0.8,1-0.8),
          IF(G21=1,0.8,1-0.8)) * M21</f>
        <v>0.0002048</v>
      </c>
      <c r="L21" s="6" t="n">
        <f aca="false">PRODUCT(IF(B21=1,0.9,1-0.9), IF(A21=1,0.9,1-0.9),
          IF(C21=1,0.9,1-0.9),
          IF(D21=1,0.9,1-0.9),
          IF(E21=1,0.9,1-0.9),
          IF(F21=1,0.9,1-0.9),
          IF(G21=1,0.9,1-0.9)) * M21</f>
        <v>8.09999999999999E-006</v>
      </c>
      <c r="M21" s="2" t="n">
        <f aca="false">IF(C21=1,1,IF(AND(B21=1,A21=1,G21=1,D21=1),1,IF(AND(B21=1,A21=1,F21=1,D21=1,E21=1)
,1,0)))</f>
        <v>1</v>
      </c>
    </row>
    <row r="22" customFormat="false" ht="14.25" hidden="false" customHeight="false" outlineLevel="0" collapsed="false">
      <c r="A22" s="2" t="n">
        <v>0</v>
      </c>
      <c r="B22" s="2" t="n">
        <v>0</v>
      </c>
      <c r="C22" s="2" t="n">
        <v>1</v>
      </c>
      <c r="D22" s="2" t="n">
        <v>0</v>
      </c>
      <c r="E22" s="2" t="n">
        <v>0</v>
      </c>
      <c r="F22" s="2" t="n">
        <v>1</v>
      </c>
      <c r="G22" s="2" t="n">
        <v>0</v>
      </c>
      <c r="H22" s="1" t="n">
        <f aca="false"> ((($A22*$A$2)+(1-$A$2)*(1-$A22))* (($B22*$B$2)+(1-$B$2)*(1-$B22)) *(($C22*$C$2)+(1-
$C$2)*(1-$C22))* (($D22*$D$2)+(1-$D$2)*(1-$D22))* (($E22*$E$2)+(1-$E$2)*(1-$E22))*
(($F22*$F$2)+(1-$F$2)*(1-$F22))* (($G22*$G$2)+(1-$G$2)*(1-$G22)))*$M22</f>
        <v>0.0011907</v>
      </c>
      <c r="I22" s="6" t="n">
        <f aca="false">PRODUCT(IF(B22=1,0.6,1-0.6), IF(A22=1,0.6,1-0.6),
        IF(C22=1,0.6,1-0.6),
        IF(D22=1,0.6,1-0.6),
        IF(E22=1,0.6,1-0.6),
        IF(F22=1,0.6,1-0.6),
        IF(G22=1,0.6,1-0.6)) * M22</f>
        <v>0.0036864</v>
      </c>
      <c r="J22" s="6" t="n">
        <f aca="false">PRODUCT(IF(B22=1,0.7,1-0.7), IF(A22=1,0.7,1-0.7),
          IF(C22=1,0.7,1-0.7),
          IF(D22=1,0.7,1-0.7),
          IF(E22=1,0.7,1-0.7),
          IF(F22=1,0.7,1-0.7),
          IF(G22=1,0.7,1-0.7)) * M22</f>
        <v>0.0011907</v>
      </c>
      <c r="K22" s="6" t="n">
        <f aca="false">PRODUCT(IF(B22=1,0.8,1-0.8),IF(A22=1,0.8,1-0.8),
          IF(C22=1,0.8,1-0.8),
          IF(D22=1,0.8,1-0.8),
          IF(E22=1,0.8,1-0.8),
          IF(F22=1,0.8,1-0.8),
          IF(G22=1,0.8,1-0.8)) * M22</f>
        <v>0.0002048</v>
      </c>
      <c r="L22" s="6" t="n">
        <f aca="false">PRODUCT(IF(B22=1,0.9,1-0.9), IF(A22=1,0.9,1-0.9),
          IF(C22=1,0.9,1-0.9),
          IF(D22=1,0.9,1-0.9),
          IF(E22=1,0.9,1-0.9),
          IF(F22=1,0.9,1-0.9),
          IF(G22=1,0.9,1-0.9)) * M22</f>
        <v>8.09999999999999E-006</v>
      </c>
      <c r="M22" s="2" t="n">
        <f aca="false">IF(C22=1,1,IF(AND(B22=1,A22=1,G22=1,D22=1),1,IF(AND(B22=1,A22=1,F22=1,D22=1,E22=1)
,1,0)))</f>
        <v>1</v>
      </c>
    </row>
    <row r="23" customFormat="false" ht="14.25" hidden="false" customHeight="false" outlineLevel="0" collapsed="false">
      <c r="A23" s="2" t="n">
        <v>0</v>
      </c>
      <c r="B23" s="2" t="n">
        <v>0</v>
      </c>
      <c r="C23" s="2" t="n">
        <v>1</v>
      </c>
      <c r="D23" s="2" t="n">
        <v>0</v>
      </c>
      <c r="E23" s="2" t="n">
        <v>0</v>
      </c>
      <c r="F23" s="2" t="n">
        <v>1</v>
      </c>
      <c r="G23" s="2" t="n">
        <v>1</v>
      </c>
      <c r="H23" s="1" t="n">
        <f aca="false"> ((($A23*$A$2)+(1-$A$2)*(1-$A23))* (($B23*$B$2)+(1-$B$2)*(1-$B23)) *(($C23*$C$2)+(1-
$C$2)*(1-$C23))* (($D23*$D$2)+(1-$D$2)*(1-$D23))* (($E23*$E$2)+(1-$E$2)*(1-$E23))*
(($F23*$F$2)+(1-$F$2)*(1-$F23))* (($G23*$G$2)+(1-$G$2)*(1-$G23)))*$M23</f>
        <v>0.0027783</v>
      </c>
      <c r="I23" s="6" t="n">
        <f aca="false">PRODUCT(IF(B23=1,0.6,1-0.6), IF(A23=1,0.6,1-0.6),
        IF(C23=1,0.6,1-0.6),
        IF(D23=1,0.6,1-0.6),
        IF(E23=1,0.6,1-0.6),
        IF(F23=1,0.6,1-0.6),
        IF(G23=1,0.6,1-0.6)) * M23</f>
        <v>0.0055296</v>
      </c>
      <c r="J23" s="6" t="n">
        <f aca="false">PRODUCT(IF(B23=1,0.7,1-0.7), IF(A23=1,0.7,1-0.7),
          IF(C23=1,0.7,1-0.7),
          IF(D23=1,0.7,1-0.7),
          IF(E23=1,0.7,1-0.7),
          IF(F23=1,0.7,1-0.7),
          IF(G23=1,0.7,1-0.7)) * M23</f>
        <v>0.0027783</v>
      </c>
      <c r="K23" s="6" t="n">
        <f aca="false">PRODUCT(IF(B23=1,0.8,1-0.8),IF(A23=1,0.8,1-0.8),
          IF(C23=1,0.8,1-0.8),
          IF(D23=1,0.8,1-0.8),
          IF(E23=1,0.8,1-0.8),
          IF(F23=1,0.8,1-0.8),
          IF(G23=1,0.8,1-0.8)) * M23</f>
        <v>0.0008192</v>
      </c>
      <c r="L23" s="6" t="n">
        <f aca="false">PRODUCT(IF(B23=1,0.9,1-0.9), IF(A23=1,0.9,1-0.9),
          IF(C23=1,0.9,1-0.9),
          IF(D23=1,0.9,1-0.9),
          IF(E23=1,0.9,1-0.9),
          IF(F23=1,0.9,1-0.9),
          IF(G23=1,0.9,1-0.9)) * M23</f>
        <v>7.28999999999999E-005</v>
      </c>
      <c r="M23" s="2" t="n">
        <f aca="false">IF(C23=1,1,IF(AND(B23=1,A23=1,G23=1,D23=1),1,IF(AND(B23=1,A23=1,F23=1,D23=1,E23=1)
,1,0)))</f>
        <v>1</v>
      </c>
    </row>
    <row r="24" customFormat="false" ht="14.25" hidden="false" customHeight="false" outlineLevel="0" collapsed="false">
      <c r="A24" s="2" t="n">
        <v>0</v>
      </c>
      <c r="B24" s="2" t="n">
        <v>0</v>
      </c>
      <c r="C24" s="2" t="n">
        <v>1</v>
      </c>
      <c r="D24" s="2" t="n">
        <v>0</v>
      </c>
      <c r="E24" s="2" t="n">
        <v>1</v>
      </c>
      <c r="F24" s="2" t="n">
        <v>0</v>
      </c>
      <c r="G24" s="2" t="n">
        <v>0</v>
      </c>
      <c r="H24" s="1" t="n">
        <f aca="false"> ((($A24*$A$2)+(1-$A$2)*(1-$A24))* (($B24*$B$2)+(1-$B$2)*(1-$B24)) *(($C24*$C$2)+(1-
$C$2)*(1-$C24))* (($D24*$D$2)+(1-$D$2)*(1-$D24))* (($E24*$E$2)+(1-$E$2)*(1-$E24))*
(($F24*$F$2)+(1-$F$2)*(1-$F24))* (($G24*$G$2)+(1-$G$2)*(1-$G24)))*$M24</f>
        <v>0.0011907</v>
      </c>
      <c r="I24" s="6" t="n">
        <f aca="false">PRODUCT(IF(B24=1,0.6,1-0.6), IF(A24=1,0.6,1-0.6),
        IF(C24=1,0.6,1-0.6),
        IF(D24=1,0.6,1-0.6),
        IF(E24=1,0.6,1-0.6),
        IF(F24=1,0.6,1-0.6),
        IF(G24=1,0.6,1-0.6)) * M24</f>
        <v>0.0036864</v>
      </c>
      <c r="J24" s="6" t="n">
        <f aca="false">PRODUCT(IF(B24=1,0.7,1-0.7), IF(A24=1,0.7,1-0.7),
          IF(C24=1,0.7,1-0.7),
          IF(D24=1,0.7,1-0.7),
          IF(E24=1,0.7,1-0.7),
          IF(F24=1,0.7,1-0.7),
          IF(G24=1,0.7,1-0.7)) * M24</f>
        <v>0.0011907</v>
      </c>
      <c r="K24" s="6" t="n">
        <f aca="false">PRODUCT(IF(B24=1,0.8,1-0.8),IF(A24=1,0.8,1-0.8),
          IF(C24=1,0.8,1-0.8),
          IF(D24=1,0.8,1-0.8),
          IF(E24=1,0.8,1-0.8),
          IF(F24=1,0.8,1-0.8),
          IF(G24=1,0.8,1-0.8)) * M24</f>
        <v>0.0002048</v>
      </c>
      <c r="L24" s="6" t="n">
        <f aca="false">PRODUCT(IF(B24=1,0.9,1-0.9), IF(A24=1,0.9,1-0.9),
          IF(C24=1,0.9,1-0.9),
          IF(D24=1,0.9,1-0.9),
          IF(E24=1,0.9,1-0.9),
          IF(F24=1,0.9,1-0.9),
          IF(G24=1,0.9,1-0.9)) * M24</f>
        <v>8.09999999999999E-006</v>
      </c>
      <c r="M24" s="2" t="n">
        <f aca="false">IF(C24=1,1,IF(AND(B24=1,A24=1,G24=1,D24=1),1,IF(AND(B24=1,A24=1,F24=1,D24=1,E24=1)
,1,0)))</f>
        <v>1</v>
      </c>
    </row>
    <row r="25" customFormat="false" ht="14.25" hidden="false" customHeight="false" outlineLevel="0" collapsed="false">
      <c r="A25" s="2" t="n">
        <v>0</v>
      </c>
      <c r="B25" s="2" t="n">
        <v>0</v>
      </c>
      <c r="C25" s="2" t="n">
        <v>1</v>
      </c>
      <c r="D25" s="2" t="n">
        <v>0</v>
      </c>
      <c r="E25" s="2" t="n">
        <v>1</v>
      </c>
      <c r="F25" s="2" t="n">
        <v>0</v>
      </c>
      <c r="G25" s="2" t="n">
        <v>1</v>
      </c>
      <c r="H25" s="1" t="n">
        <f aca="false"> ((($A25*$A$2)+(1-$A$2)*(1-$A25))* (($B25*$B$2)+(1-$B$2)*(1-$B25)) *(($C25*$C$2)+(1-
$C$2)*(1-$C25))* (($D25*$D$2)+(1-$D$2)*(1-$D25))* (($E25*$E$2)+(1-$E$2)*(1-$E25))*
(($F25*$F$2)+(1-$F$2)*(1-$F25))* (($G25*$G$2)+(1-$G$2)*(1-$G25)))*$M25</f>
        <v>0.0027783</v>
      </c>
      <c r="I25" s="6" t="n">
        <f aca="false">PRODUCT(IF(B25=1,0.6,1-0.6), IF(A25=1,0.6,1-0.6),
        IF(C25=1,0.6,1-0.6),
        IF(D25=1,0.6,1-0.6),
        IF(E25=1,0.6,1-0.6),
        IF(F25=1,0.6,1-0.6),
        IF(G25=1,0.6,1-0.6)) * M25</f>
        <v>0.0055296</v>
      </c>
      <c r="J25" s="6" t="n">
        <f aca="false">PRODUCT(IF(B25=1,0.7,1-0.7), IF(A25=1,0.7,1-0.7),
          IF(C25=1,0.7,1-0.7),
          IF(D25=1,0.7,1-0.7),
          IF(E25=1,0.7,1-0.7),
          IF(F25=1,0.7,1-0.7),
          IF(G25=1,0.7,1-0.7)) * M25</f>
        <v>0.0027783</v>
      </c>
      <c r="K25" s="6" t="n">
        <f aca="false">PRODUCT(IF(B25=1,0.8,1-0.8),IF(A25=1,0.8,1-0.8),
          IF(C25=1,0.8,1-0.8),
          IF(D25=1,0.8,1-0.8),
          IF(E25=1,0.8,1-0.8),
          IF(F25=1,0.8,1-0.8),
          IF(G25=1,0.8,1-0.8)) * M25</f>
        <v>0.000819199999999999</v>
      </c>
      <c r="L25" s="6" t="n">
        <f aca="false">PRODUCT(IF(B25=1,0.9,1-0.9), IF(A25=1,0.9,1-0.9),
          IF(C25=1,0.9,1-0.9),
          IF(D25=1,0.9,1-0.9),
          IF(E25=1,0.9,1-0.9),
          IF(F25=1,0.9,1-0.9),
          IF(G25=1,0.9,1-0.9)) * M25</f>
        <v>7.28999999999999E-005</v>
      </c>
      <c r="M25" s="2" t="n">
        <f aca="false">IF(C25=1,1,IF(AND(B25=1,A25=1,G25=1,D25=1),1,IF(AND(B25=1,A25=1,F25=1,D25=1,E25=1)
,1,0)))</f>
        <v>1</v>
      </c>
    </row>
    <row r="26" customFormat="false" ht="14.25" hidden="false" customHeight="false" outlineLevel="0" collapsed="false">
      <c r="A26" s="2" t="n">
        <v>0</v>
      </c>
      <c r="B26" s="2" t="n">
        <v>0</v>
      </c>
      <c r="C26" s="2" t="n">
        <v>1</v>
      </c>
      <c r="D26" s="2" t="n">
        <v>0</v>
      </c>
      <c r="E26" s="2" t="n">
        <v>1</v>
      </c>
      <c r="F26" s="2" t="n">
        <v>1</v>
      </c>
      <c r="G26" s="2" t="n">
        <v>0</v>
      </c>
      <c r="H26" s="1" t="n">
        <f aca="false"> ((($A26*$A$2)+(1-$A$2)*(1-$A26))* (($B26*$B$2)+(1-$B$2)*(1-$B26)) *(($C26*$C$2)+(1-
$C$2)*(1-$C26))* (($D26*$D$2)+(1-$D$2)*(1-$D26))* (($E26*$E$2)+(1-$E$2)*(1-$E26))*
(($F26*$F$2)+(1-$F$2)*(1-$F26))* (($G26*$G$2)+(1-$G$2)*(1-$G26)))*$M26</f>
        <v>0.0027783</v>
      </c>
      <c r="I26" s="6" t="n">
        <f aca="false">PRODUCT(IF(B26=1,0.6,1-0.6), IF(A26=1,0.6,1-0.6),
        IF(C26=1,0.6,1-0.6),
        IF(D26=1,0.6,1-0.6),
        IF(E26=1,0.6,1-0.6),
        IF(F26=1,0.6,1-0.6),
        IF(G26=1,0.6,1-0.6)) * M26</f>
        <v>0.0055296</v>
      </c>
      <c r="J26" s="6" t="n">
        <f aca="false">PRODUCT(IF(B26=1,0.7,1-0.7), IF(A26=1,0.7,1-0.7),
          IF(C26=1,0.7,1-0.7),
          IF(D26=1,0.7,1-0.7),
          IF(E26=1,0.7,1-0.7),
          IF(F26=1,0.7,1-0.7),
          IF(G26=1,0.7,1-0.7)) * M26</f>
        <v>0.0027783</v>
      </c>
      <c r="K26" s="6" t="n">
        <f aca="false">PRODUCT(IF(B26=1,0.8,1-0.8),IF(A26=1,0.8,1-0.8),
          IF(C26=1,0.8,1-0.8),
          IF(D26=1,0.8,1-0.8),
          IF(E26=1,0.8,1-0.8),
          IF(F26=1,0.8,1-0.8),
          IF(G26=1,0.8,1-0.8)) * M26</f>
        <v>0.000819199999999999</v>
      </c>
      <c r="L26" s="6" t="n">
        <f aca="false">PRODUCT(IF(B26=1,0.9,1-0.9), IF(A26=1,0.9,1-0.9),
          IF(C26=1,0.9,1-0.9),
          IF(D26=1,0.9,1-0.9),
          IF(E26=1,0.9,1-0.9),
          IF(F26=1,0.9,1-0.9),
          IF(G26=1,0.9,1-0.9)) * M26</f>
        <v>7.28999999999999E-005</v>
      </c>
      <c r="M26" s="2" t="n">
        <f aca="false">IF(C26=1,1,IF(AND(B26=1,A26=1,G26=1,D26=1),1,IF(AND(B26=1,A26=1,F26=1,D26=1,E26=1)
,1,0)))</f>
        <v>1</v>
      </c>
    </row>
    <row r="27" customFormat="false" ht="14.25" hidden="false" customHeight="false" outlineLevel="0" collapsed="false">
      <c r="A27" s="2" t="n">
        <v>0</v>
      </c>
      <c r="B27" s="2" t="n">
        <v>0</v>
      </c>
      <c r="C27" s="2" t="n">
        <v>1</v>
      </c>
      <c r="D27" s="2" t="n">
        <v>0</v>
      </c>
      <c r="E27" s="2" t="n">
        <v>1</v>
      </c>
      <c r="F27" s="2" t="n">
        <v>1</v>
      </c>
      <c r="G27" s="2" t="n">
        <v>1</v>
      </c>
      <c r="H27" s="1" t="n">
        <f aca="false"> ((($A27*$A$2)+(1-$A$2)*(1-$A27))* (($B27*$B$2)+(1-$B$2)*(1-$B27)) *(($C27*$C$2)+(1-
$C$2)*(1-$C27))* (($D27*$D$2)+(1-$D$2)*(1-$D27))* (($E27*$E$2)+(1-$E$2)*(1-$E27))*
(($F27*$F$2)+(1-$F$2)*(1-$F27))* (($G27*$G$2)+(1-$G$2)*(1-$G27)))*$M27</f>
        <v>0.0064827</v>
      </c>
      <c r="I27" s="6" t="n">
        <f aca="false">PRODUCT(IF(B27=1,0.6,1-0.6), IF(A27=1,0.6,1-0.6),
        IF(C27=1,0.6,1-0.6),
        IF(D27=1,0.6,1-0.6),
        IF(E27=1,0.6,1-0.6),
        IF(F27=1,0.6,1-0.6),
        IF(G27=1,0.6,1-0.6)) * M27</f>
        <v>0.0082944</v>
      </c>
      <c r="J27" s="6" t="n">
        <f aca="false">PRODUCT(IF(B27=1,0.7,1-0.7), IF(A27=1,0.7,1-0.7),
          IF(C27=1,0.7,1-0.7),
          IF(D27=1,0.7,1-0.7),
          IF(E27=1,0.7,1-0.7),
          IF(F27=1,0.7,1-0.7),
          IF(G27=1,0.7,1-0.7)) * M27</f>
        <v>0.0064827</v>
      </c>
      <c r="K27" s="6" t="n">
        <f aca="false">PRODUCT(IF(B27=1,0.8,1-0.8),IF(A27=1,0.8,1-0.8),
          IF(C27=1,0.8,1-0.8),
          IF(D27=1,0.8,1-0.8),
          IF(E27=1,0.8,1-0.8),
          IF(F27=1,0.8,1-0.8),
          IF(G27=1,0.8,1-0.8)) * M27</f>
        <v>0.0032768</v>
      </c>
      <c r="L27" s="6" t="n">
        <f aca="false">PRODUCT(IF(B27=1,0.9,1-0.9), IF(A27=1,0.9,1-0.9),
          IF(C27=1,0.9,1-0.9),
          IF(D27=1,0.9,1-0.9),
          IF(E27=1,0.9,1-0.9),
          IF(F27=1,0.9,1-0.9),
          IF(G27=1,0.9,1-0.9)) * M27</f>
        <v>0.0006561</v>
      </c>
      <c r="M27" s="2" t="n">
        <f aca="false">IF(C27=1,1,IF(AND(B27=1,A27=1,G27=1,D27=1),1,IF(AND(B27=1,A27=1,F27=1,D27=1,E27=1)
,1,0)))</f>
        <v>1</v>
      </c>
    </row>
    <row r="28" customFormat="false" ht="14.25" hidden="false" customHeight="false" outlineLevel="0" collapsed="false">
      <c r="A28" s="2" t="n">
        <v>0</v>
      </c>
      <c r="B28" s="2" t="n">
        <v>0</v>
      </c>
      <c r="C28" s="2" t="n">
        <v>1</v>
      </c>
      <c r="D28" s="2" t="n">
        <v>1</v>
      </c>
      <c r="E28" s="2" t="n">
        <v>0</v>
      </c>
      <c r="F28" s="2" t="n">
        <v>0</v>
      </c>
      <c r="G28" s="2" t="n">
        <v>0</v>
      </c>
      <c r="H28" s="1" t="n">
        <f aca="false"> ((($A28*$A$2)+(1-$A$2)*(1-$A28))* (($B28*$B$2)+(1-$B$2)*(1-$B28)) *(($C28*$C$2)+(1-
$C$2)*(1-$C28))* (($D28*$D$2)+(1-$D$2)*(1-$D28))* (($E28*$E$2)+(1-$E$2)*(1-$E28))*
(($F28*$F$2)+(1-$F$2)*(1-$F28))* (($G28*$G$2)+(1-$G$2)*(1-$G28)))*$M28</f>
        <v>0.0011907</v>
      </c>
      <c r="I28" s="6" t="n">
        <f aca="false">PRODUCT(IF(B28=1,0.6,1-0.6), IF(A28=1,0.6,1-0.6),
        IF(C28=1,0.6,1-0.6),
        IF(D28=1,0.6,1-0.6),
        IF(E28=1,0.6,1-0.6),
        IF(F28=1,0.6,1-0.6),
        IF(G28=1,0.6,1-0.6)) * M28</f>
        <v>0.0036864</v>
      </c>
      <c r="J28" s="6" t="n">
        <f aca="false">PRODUCT(IF(B28=1,0.7,1-0.7), IF(A28=1,0.7,1-0.7),
          IF(C28=1,0.7,1-0.7),
          IF(D28=1,0.7,1-0.7),
          IF(E28=1,0.7,1-0.7),
          IF(F28=1,0.7,1-0.7),
          IF(G28=1,0.7,1-0.7)) * M28</f>
        <v>0.0011907</v>
      </c>
      <c r="K28" s="6" t="n">
        <f aca="false">PRODUCT(IF(B28=1,0.8,1-0.8),IF(A28=1,0.8,1-0.8),
          IF(C28=1,0.8,1-0.8),
          IF(D28=1,0.8,1-0.8),
          IF(E28=1,0.8,1-0.8),
          IF(F28=1,0.8,1-0.8),
          IF(G28=1,0.8,1-0.8)) * M28</f>
        <v>0.0002048</v>
      </c>
      <c r="L28" s="6" t="n">
        <f aca="false">PRODUCT(IF(B28=1,0.9,1-0.9), IF(A28=1,0.9,1-0.9),
          IF(C28=1,0.9,1-0.9),
          IF(D28=1,0.9,1-0.9),
          IF(E28=1,0.9,1-0.9),
          IF(F28=1,0.9,1-0.9),
          IF(G28=1,0.9,1-0.9)) * M28</f>
        <v>8.09999999999999E-006</v>
      </c>
      <c r="M28" s="2" t="n">
        <f aca="false">IF(C28=1,1,IF(AND(B28=1,A28=1,G28=1,D28=1),1,IF(AND(B28=1,A28=1,F28=1,D28=1,E28=1)
,1,0)))</f>
        <v>1</v>
      </c>
    </row>
    <row r="29" customFormat="false" ht="14.25" hidden="false" customHeight="false" outlineLevel="0" collapsed="false">
      <c r="A29" s="2" t="n">
        <v>0</v>
      </c>
      <c r="B29" s="2" t="n">
        <v>0</v>
      </c>
      <c r="C29" s="2" t="n">
        <v>1</v>
      </c>
      <c r="D29" s="2" t="n">
        <v>1</v>
      </c>
      <c r="E29" s="2" t="n">
        <v>0</v>
      </c>
      <c r="F29" s="2" t="n">
        <v>0</v>
      </c>
      <c r="G29" s="2" t="n">
        <v>1</v>
      </c>
      <c r="H29" s="1" t="n">
        <f aca="false"> ((($A29*$A$2)+(1-$A$2)*(1-$A29))* (($B29*$B$2)+(1-$B$2)*(1-$B29)) *(($C29*$C$2)+(1-
$C$2)*(1-$C29))* (($D29*$D$2)+(1-$D$2)*(1-$D29))* (($E29*$E$2)+(1-$E$2)*(1-$E29))*
(($F29*$F$2)+(1-$F$2)*(1-$F29))* (($G29*$G$2)+(1-$G$2)*(1-$G29)))*$M29</f>
        <v>0.0027783</v>
      </c>
      <c r="I29" s="6" t="n">
        <f aca="false">PRODUCT(IF(B29=1,0.6,1-0.6), IF(A29=1,0.6,1-0.6),
        IF(C29=1,0.6,1-0.6),
        IF(D29=1,0.6,1-0.6),
        IF(E29=1,0.6,1-0.6),
        IF(F29=1,0.6,1-0.6),
        IF(G29=1,0.6,1-0.6)) * M29</f>
        <v>0.0055296</v>
      </c>
      <c r="J29" s="6" t="n">
        <f aca="false">PRODUCT(IF(B29=1,0.7,1-0.7), IF(A29=1,0.7,1-0.7),
          IF(C29=1,0.7,1-0.7),
          IF(D29=1,0.7,1-0.7),
          IF(E29=1,0.7,1-0.7),
          IF(F29=1,0.7,1-0.7),
          IF(G29=1,0.7,1-0.7)) * M29</f>
        <v>0.0027783</v>
      </c>
      <c r="K29" s="6" t="n">
        <f aca="false">PRODUCT(IF(B29=1,0.8,1-0.8),IF(A29=1,0.8,1-0.8),
          IF(C29=1,0.8,1-0.8),
          IF(D29=1,0.8,1-0.8),
          IF(E29=1,0.8,1-0.8),
          IF(F29=1,0.8,1-0.8),
          IF(G29=1,0.8,1-0.8)) * M29</f>
        <v>0.000819199999999999</v>
      </c>
      <c r="L29" s="6" t="n">
        <f aca="false">PRODUCT(IF(B29=1,0.9,1-0.9), IF(A29=1,0.9,1-0.9),
          IF(C29=1,0.9,1-0.9),
          IF(D29=1,0.9,1-0.9),
          IF(E29=1,0.9,1-0.9),
          IF(F29=1,0.9,1-0.9),
          IF(G29=1,0.9,1-0.9)) * M29</f>
        <v>7.28999999999999E-005</v>
      </c>
      <c r="M29" s="2" t="n">
        <f aca="false">IF(C29=1,1,IF(AND(B29=1,A29=1,G29=1,D29=1),1,IF(AND(B29=1,A29=1,F29=1,D29=1,E29=1)
,1,0)))</f>
        <v>1</v>
      </c>
    </row>
    <row r="30" customFormat="false" ht="14.25" hidden="false" customHeight="false" outlineLevel="0" collapsed="false">
      <c r="A30" s="2" t="n">
        <v>0</v>
      </c>
      <c r="B30" s="2" t="n">
        <v>0</v>
      </c>
      <c r="C30" s="2" t="n">
        <v>1</v>
      </c>
      <c r="D30" s="2" t="n">
        <v>1</v>
      </c>
      <c r="E30" s="2" t="n">
        <v>0</v>
      </c>
      <c r="F30" s="2" t="n">
        <v>1</v>
      </c>
      <c r="G30" s="2" t="n">
        <v>0</v>
      </c>
      <c r="H30" s="1" t="n">
        <f aca="false"> ((($A30*$A$2)+(1-$A$2)*(1-$A30))* (($B30*$B$2)+(1-$B$2)*(1-$B30)) *(($C30*$C$2)+(1-
$C$2)*(1-$C30))* (($D30*$D$2)+(1-$D$2)*(1-$D30))* (($E30*$E$2)+(1-$E$2)*(1-$E30))*
(($F30*$F$2)+(1-$F$2)*(1-$F30))* (($G30*$G$2)+(1-$G$2)*(1-$G30)))*$M30</f>
        <v>0.0027783</v>
      </c>
      <c r="I30" s="6" t="n">
        <f aca="false">PRODUCT(IF(B30=1,0.6,1-0.6), IF(A30=1,0.6,1-0.6),
        IF(C30=1,0.6,1-0.6),
        IF(D30=1,0.6,1-0.6),
        IF(E30=1,0.6,1-0.6),
        IF(F30=1,0.6,1-0.6),
        IF(G30=1,0.6,1-0.6)) * M30</f>
        <v>0.0055296</v>
      </c>
      <c r="J30" s="6" t="n">
        <f aca="false">PRODUCT(IF(B30=1,0.7,1-0.7), IF(A30=1,0.7,1-0.7),
          IF(C30=1,0.7,1-0.7),
          IF(D30=1,0.7,1-0.7),
          IF(E30=1,0.7,1-0.7),
          IF(F30=1,0.7,1-0.7),
          IF(G30=1,0.7,1-0.7)) * M30</f>
        <v>0.0027783</v>
      </c>
      <c r="K30" s="6" t="n">
        <f aca="false">PRODUCT(IF(B30=1,0.8,1-0.8),IF(A30=1,0.8,1-0.8),
          IF(C30=1,0.8,1-0.8),
          IF(D30=1,0.8,1-0.8),
          IF(E30=1,0.8,1-0.8),
          IF(F30=1,0.8,1-0.8),
          IF(G30=1,0.8,1-0.8)) * M30</f>
        <v>0.000819199999999999</v>
      </c>
      <c r="L30" s="6" t="n">
        <f aca="false">PRODUCT(IF(B30=1,0.9,1-0.9), IF(A30=1,0.9,1-0.9),
          IF(C30=1,0.9,1-0.9),
          IF(D30=1,0.9,1-0.9),
          IF(E30=1,0.9,1-0.9),
          IF(F30=1,0.9,1-0.9),
          IF(G30=1,0.9,1-0.9)) * M30</f>
        <v>7.28999999999999E-005</v>
      </c>
      <c r="M30" s="2" t="n">
        <f aca="false">IF(C30=1,1,IF(AND(B30=1,A30=1,G30=1,D30=1),1,IF(AND(B30=1,A30=1,F30=1,D30=1,E30=1)
,1,0)))</f>
        <v>1</v>
      </c>
    </row>
    <row r="31" customFormat="false" ht="14.25" hidden="false" customHeight="false" outlineLevel="0" collapsed="false">
      <c r="A31" s="2" t="n">
        <v>0</v>
      </c>
      <c r="B31" s="2" t="n">
        <v>0</v>
      </c>
      <c r="C31" s="2" t="n">
        <v>1</v>
      </c>
      <c r="D31" s="2" t="n">
        <v>1</v>
      </c>
      <c r="E31" s="2" t="n">
        <v>0</v>
      </c>
      <c r="F31" s="2" t="n">
        <v>1</v>
      </c>
      <c r="G31" s="2" t="n">
        <v>1</v>
      </c>
      <c r="H31" s="1" t="n">
        <f aca="false"> ((($A31*$A$2)+(1-$A$2)*(1-$A31))* (($B31*$B$2)+(1-$B$2)*(1-$B31)) *(($C31*$C$2)+(1-
$C$2)*(1-$C31))* (($D31*$D$2)+(1-$D$2)*(1-$D31))* (($E31*$E$2)+(1-$E$2)*(1-$E31))*
(($F31*$F$2)+(1-$F$2)*(1-$F31))* (($G31*$G$2)+(1-$G$2)*(1-$G31)))*$M31</f>
        <v>0.0064827</v>
      </c>
      <c r="I31" s="6" t="n">
        <f aca="false">PRODUCT(IF(B31=1,0.6,1-0.6), IF(A31=1,0.6,1-0.6),
        IF(C31=1,0.6,1-0.6),
        IF(D31=1,0.6,1-0.6),
        IF(E31=1,0.6,1-0.6),
        IF(F31=1,0.6,1-0.6),
        IF(G31=1,0.6,1-0.6)) * M31</f>
        <v>0.0082944</v>
      </c>
      <c r="J31" s="6" t="n">
        <f aca="false">PRODUCT(IF(B31=1,0.7,1-0.7), IF(A31=1,0.7,1-0.7),
          IF(C31=1,0.7,1-0.7),
          IF(D31=1,0.7,1-0.7),
          IF(E31=1,0.7,1-0.7),
          IF(F31=1,0.7,1-0.7),
          IF(G31=1,0.7,1-0.7)) * M31</f>
        <v>0.0064827</v>
      </c>
      <c r="K31" s="6" t="n">
        <f aca="false">PRODUCT(IF(B31=1,0.8,1-0.8),IF(A31=1,0.8,1-0.8),
          IF(C31=1,0.8,1-0.8),
          IF(D31=1,0.8,1-0.8),
          IF(E31=1,0.8,1-0.8),
          IF(F31=1,0.8,1-0.8),
          IF(G31=1,0.8,1-0.8)) * M31</f>
        <v>0.0032768</v>
      </c>
      <c r="L31" s="6" t="n">
        <f aca="false">PRODUCT(IF(B31=1,0.9,1-0.9), IF(A31=1,0.9,1-0.9),
          IF(C31=1,0.9,1-0.9),
          IF(D31=1,0.9,1-0.9),
          IF(E31=1,0.9,1-0.9),
          IF(F31=1,0.9,1-0.9),
          IF(G31=1,0.9,1-0.9)) * M31</f>
        <v>0.0006561</v>
      </c>
      <c r="M31" s="2" t="n">
        <f aca="false">IF(C31=1,1,IF(AND(B31=1,A31=1,G31=1,D31=1),1,IF(AND(B31=1,A31=1,F31=1,D31=1,E31=1)
,1,0)))</f>
        <v>1</v>
      </c>
    </row>
    <row r="32" customFormat="false" ht="14.25" hidden="false" customHeight="false" outlineLevel="0" collapsed="false">
      <c r="A32" s="2" t="n">
        <v>0</v>
      </c>
      <c r="B32" s="2" t="n">
        <v>0</v>
      </c>
      <c r="C32" s="2" t="n">
        <v>1</v>
      </c>
      <c r="D32" s="2" t="n">
        <v>1</v>
      </c>
      <c r="E32" s="2" t="n">
        <v>1</v>
      </c>
      <c r="F32" s="2" t="n">
        <v>0</v>
      </c>
      <c r="G32" s="2" t="n">
        <v>0</v>
      </c>
      <c r="H32" s="1" t="n">
        <f aca="false"> ((($A32*$A$2)+(1-$A$2)*(1-$A32))* (($B32*$B$2)+(1-$B$2)*(1-$B32)) *(($C32*$C$2)+(1-
$C$2)*(1-$C32))* (($D32*$D$2)+(1-$D$2)*(1-$D32))* (($E32*$E$2)+(1-$E$2)*(1-$E32))*
(($F32*$F$2)+(1-$F$2)*(1-$F32))* (($G32*$G$2)+(1-$G$2)*(1-$G32)))*$M32</f>
        <v>0.0027783</v>
      </c>
      <c r="I32" s="6" t="n">
        <f aca="false">PRODUCT(IF(B32=1,0.6,1-0.6), IF(A32=1,0.6,1-0.6),
        IF(C32=1,0.6,1-0.6),
        IF(D32=1,0.6,1-0.6),
        IF(E32=1,0.6,1-0.6),
        IF(F32=1,0.6,1-0.6),
        IF(G32=1,0.6,1-0.6)) * M32</f>
        <v>0.0055296</v>
      </c>
      <c r="J32" s="6" t="n">
        <f aca="false">PRODUCT(IF(B32=1,0.7,1-0.7), IF(A32=1,0.7,1-0.7),
          IF(C32=1,0.7,1-0.7),
          IF(D32=1,0.7,1-0.7),
          IF(E32=1,0.7,1-0.7),
          IF(F32=1,0.7,1-0.7),
          IF(G32=1,0.7,1-0.7)) * M32</f>
        <v>0.0027783</v>
      </c>
      <c r="K32" s="6" t="n">
        <f aca="false">PRODUCT(IF(B32=1,0.8,1-0.8),IF(A32=1,0.8,1-0.8),
          IF(C32=1,0.8,1-0.8),
          IF(D32=1,0.8,1-0.8),
          IF(E32=1,0.8,1-0.8),
          IF(F32=1,0.8,1-0.8),
          IF(G32=1,0.8,1-0.8)) * M32</f>
        <v>0.000819199999999999</v>
      </c>
      <c r="L32" s="6" t="n">
        <f aca="false">PRODUCT(IF(B32=1,0.9,1-0.9), IF(A32=1,0.9,1-0.9),
          IF(C32=1,0.9,1-0.9),
          IF(D32=1,0.9,1-0.9),
          IF(E32=1,0.9,1-0.9),
          IF(F32=1,0.9,1-0.9),
          IF(G32=1,0.9,1-0.9)) * M32</f>
        <v>7.28999999999999E-005</v>
      </c>
      <c r="M32" s="2" t="n">
        <f aca="false">IF(C32=1,1,IF(AND(B32=1,A32=1,G32=1,D32=1),1,IF(AND(B32=1,A32=1,F32=1,D32=1,E32=1)
,1,0)))</f>
        <v>1</v>
      </c>
    </row>
    <row r="33" customFormat="false" ht="14.25" hidden="false" customHeight="false" outlineLevel="0" collapsed="false">
      <c r="A33" s="2" t="n">
        <v>0</v>
      </c>
      <c r="B33" s="2" t="n">
        <v>0</v>
      </c>
      <c r="C33" s="2" t="n">
        <v>1</v>
      </c>
      <c r="D33" s="2" t="n">
        <v>1</v>
      </c>
      <c r="E33" s="2" t="n">
        <v>1</v>
      </c>
      <c r="F33" s="2" t="n">
        <v>0</v>
      </c>
      <c r="G33" s="2" t="n">
        <v>1</v>
      </c>
      <c r="H33" s="1" t="n">
        <f aca="false"> ((($A33*$A$2)+(1-$A$2)*(1-$A33))* (($B33*$B$2)+(1-$B$2)*(1-$B33)) *(($C33*$C$2)+(1-
$C$2)*(1-$C33))* (($D33*$D$2)+(1-$D$2)*(1-$D33))* (($E33*$E$2)+(1-$E$2)*(1-$E33))*
(($F33*$F$2)+(1-$F$2)*(1-$F33))* (($G33*$G$2)+(1-$G$2)*(1-$G33)))*$M33</f>
        <v>0.0064827</v>
      </c>
      <c r="I33" s="6" t="n">
        <f aca="false">PRODUCT(IF(B33=1,0.6,1-0.6), IF(A33=1,0.6,1-0.6),
        IF(C33=1,0.6,1-0.6),
        IF(D33=1,0.6,1-0.6),
        IF(E33=1,0.6,1-0.6),
        IF(F33=1,0.6,1-0.6),
        IF(G33=1,0.6,1-0.6)) * M33</f>
        <v>0.0082944</v>
      </c>
      <c r="J33" s="6" t="n">
        <f aca="false">PRODUCT(IF(B33=1,0.7,1-0.7), IF(A33=1,0.7,1-0.7),
          IF(C33=1,0.7,1-0.7),
          IF(D33=1,0.7,1-0.7),
          IF(E33=1,0.7,1-0.7),
          IF(F33=1,0.7,1-0.7),
          IF(G33=1,0.7,1-0.7)) * M33</f>
        <v>0.0064827</v>
      </c>
      <c r="K33" s="6" t="n">
        <f aca="false">PRODUCT(IF(B33=1,0.8,1-0.8),IF(A33=1,0.8,1-0.8),
          IF(C33=1,0.8,1-0.8),
          IF(D33=1,0.8,1-0.8),
          IF(E33=1,0.8,1-0.8),
          IF(F33=1,0.8,1-0.8),
          IF(G33=1,0.8,1-0.8)) * M33</f>
        <v>0.0032768</v>
      </c>
      <c r="L33" s="6" t="n">
        <f aca="false">PRODUCT(IF(B33=1,0.9,1-0.9), IF(A33=1,0.9,1-0.9),
          IF(C33=1,0.9,1-0.9),
          IF(D33=1,0.9,1-0.9),
          IF(E33=1,0.9,1-0.9),
          IF(F33=1,0.9,1-0.9),
          IF(G33=1,0.9,1-0.9)) * M33</f>
        <v>0.0006561</v>
      </c>
      <c r="M33" s="2" t="n">
        <f aca="false">IF(C33=1,1,IF(AND(B33=1,A33=1,G33=1,D33=1),1,IF(AND(B33=1,A33=1,F33=1,D33=1,E33=1)
,1,0)))</f>
        <v>1</v>
      </c>
    </row>
    <row r="34" customFormat="false" ht="14.25" hidden="false" customHeight="false" outlineLevel="0" collapsed="false">
      <c r="A34" s="2" t="n">
        <v>0</v>
      </c>
      <c r="B34" s="2" t="n">
        <v>0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0</v>
      </c>
      <c r="H34" s="1" t="n">
        <f aca="false"> ((($A34*$A$2)+(1-$A$2)*(1-$A34))* (($B34*$B$2)+(1-$B$2)*(1-$B34)) *(($C34*$C$2)+(1-
$C$2)*(1-$C34))* (($D34*$D$2)+(1-$D$2)*(1-$D34))* (($E34*$E$2)+(1-$E$2)*(1-$E34))*
(($F34*$F$2)+(1-$F$2)*(1-$F34))* (($G34*$G$2)+(1-$G$2)*(1-$G34)))*$M34</f>
        <v>0.0064827</v>
      </c>
      <c r="I34" s="6" t="n">
        <f aca="false">PRODUCT(IF(B34=1,0.6,1-0.6), IF(A34=1,0.6,1-0.6),
        IF(C34=1,0.6,1-0.6),
        IF(D34=1,0.6,1-0.6),
        IF(E34=1,0.6,1-0.6),
        IF(F34=1,0.6,1-0.6),
        IF(G34=1,0.6,1-0.6)) * M34</f>
        <v>0.0082944</v>
      </c>
      <c r="J34" s="6" t="n">
        <f aca="false">PRODUCT(IF(B34=1,0.7,1-0.7), IF(A34=1,0.7,1-0.7),
          IF(C34=1,0.7,1-0.7),
          IF(D34=1,0.7,1-0.7),
          IF(E34=1,0.7,1-0.7),
          IF(F34=1,0.7,1-0.7),
          IF(G34=1,0.7,1-0.7)) * M34</f>
        <v>0.0064827</v>
      </c>
      <c r="K34" s="6" t="n">
        <f aca="false">PRODUCT(IF(B34=1,0.8,1-0.8),IF(A34=1,0.8,1-0.8),
          IF(C34=1,0.8,1-0.8),
          IF(D34=1,0.8,1-0.8),
          IF(E34=1,0.8,1-0.8),
          IF(F34=1,0.8,1-0.8),
          IF(G34=1,0.8,1-0.8)) * M34</f>
        <v>0.0032768</v>
      </c>
      <c r="L34" s="6" t="n">
        <f aca="false">PRODUCT(IF(B34=1,0.9,1-0.9), IF(A34=1,0.9,1-0.9),
          IF(C34=1,0.9,1-0.9),
          IF(D34=1,0.9,1-0.9),
          IF(E34=1,0.9,1-0.9),
          IF(F34=1,0.9,1-0.9),
          IF(G34=1,0.9,1-0.9)) * M34</f>
        <v>0.0006561</v>
      </c>
      <c r="M34" s="2" t="n">
        <f aca="false">IF(C34=1,1,IF(AND(B34=1,A34=1,G34=1,D34=1),1,IF(AND(B34=1,A34=1,F34=1,D34=1,E34=1)
,1,0)))</f>
        <v>1</v>
      </c>
    </row>
    <row r="35" customFormat="false" ht="14.25" hidden="false" customHeight="false" outlineLevel="0" collapsed="false">
      <c r="A35" s="2" t="n">
        <v>0</v>
      </c>
      <c r="B35" s="2" t="n">
        <v>0</v>
      </c>
      <c r="C35" s="2" t="n">
        <v>1</v>
      </c>
      <c r="D35" s="2" t="n">
        <v>1</v>
      </c>
      <c r="E35" s="2" t="n">
        <v>1</v>
      </c>
      <c r="F35" s="2" t="n">
        <v>1</v>
      </c>
      <c r="G35" s="2" t="n">
        <v>1</v>
      </c>
      <c r="H35" s="1" t="n">
        <f aca="false"> ((($A35*$A$2)+(1-$A$2)*(1-$A35))* (($B35*$B$2)+(1-$B$2)*(1-$B35)) *(($C35*$C$2)+(1-
$C$2)*(1-$C35))* (($D35*$D$2)+(1-$D$2)*(1-$D35))* (($E35*$E$2)+(1-$E$2)*(1-$E35))*
(($F35*$F$2)+(1-$F$2)*(1-$F35))* (($G35*$G$2)+(1-$G$2)*(1-$G35)))*$M35</f>
        <v>0.0151263</v>
      </c>
      <c r="I35" s="6" t="n">
        <f aca="false">PRODUCT(IF(B35=1,0.6,1-0.6), IF(A35=1,0.6,1-0.6),
        IF(C35=1,0.6,1-0.6),
        IF(D35=1,0.6,1-0.6),
        IF(E35=1,0.6,1-0.6),
        IF(F35=1,0.6,1-0.6),
        IF(G35=1,0.6,1-0.6)) * M35</f>
        <v>0.0124416</v>
      </c>
      <c r="J35" s="6" t="n">
        <f aca="false">PRODUCT(IF(B35=1,0.7,1-0.7), IF(A35=1,0.7,1-0.7),
          IF(C35=1,0.7,1-0.7),
          IF(D35=1,0.7,1-0.7),
          IF(E35=1,0.7,1-0.7),
          IF(F35=1,0.7,1-0.7),
          IF(G35=1,0.7,1-0.7)) * M35</f>
        <v>0.0151263</v>
      </c>
      <c r="K35" s="6" t="n">
        <f aca="false">PRODUCT(IF(B35=1,0.8,1-0.8),IF(A35=1,0.8,1-0.8),
          IF(C35=1,0.8,1-0.8),
          IF(D35=1,0.8,1-0.8),
          IF(E35=1,0.8,1-0.8),
          IF(F35=1,0.8,1-0.8),
          IF(G35=1,0.8,1-0.8)) * M35</f>
        <v>0.0131072</v>
      </c>
      <c r="L35" s="6" t="n">
        <f aca="false">PRODUCT(IF(B35=1,0.9,1-0.9), IF(A35=1,0.9,1-0.9),
          IF(C35=1,0.9,1-0.9),
          IF(D35=1,0.9,1-0.9),
          IF(E35=1,0.9,1-0.9),
          IF(F35=1,0.9,1-0.9),
          IF(G35=1,0.9,1-0.9)) * M35</f>
        <v>0.0059049</v>
      </c>
      <c r="M35" s="2" t="n">
        <f aca="false">IF(C35=1,1,IF(AND(B35=1,A35=1,G35=1,D35=1),1,IF(AND(B35=1,A35=1,F35=1,D35=1,E35=1)
,1,0)))</f>
        <v>1</v>
      </c>
    </row>
    <row r="36" customFormat="false" ht="14.25" hidden="false" customHeight="false" outlineLevel="0" collapsed="false">
      <c r="A36" s="2" t="n">
        <v>0</v>
      </c>
      <c r="B36" s="2" t="n">
        <v>1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1" t="n">
        <f aca="false"> ((($A36*$A$2)+(1-$A$2)*(1-$A36))* (($B36*$B$2)+(1-$B$2)*(1-$B36)) *(($C36*$C$2)+(1-
$C$2)*(1-$C36))* (($D36*$D$2)+(1-$D$2)*(1-$D36))* (($E36*$E$2)+(1-$E$2)*(1-$E36))*
(($F36*$F$2)+(1-$F$2)*(1-$F36))* (($G36*$G$2)+(1-$G$2)*(1-$G36)))*$M36</f>
        <v>0</v>
      </c>
      <c r="I36" s="6" t="n">
        <f aca="false">PRODUCT(IF(B36=1,0.6,1-0.6), IF(A36=1,0.6,1-0.6),
        IF(C36=1,0.6,1-0.6),
        IF(D36=1,0.6,1-0.6),
        IF(E36=1,0.6,1-0.6),
        IF(F36=1,0.6,1-0.6),
        IF(G36=1,0.6,1-0.6)) * M36</f>
        <v>0</v>
      </c>
      <c r="J36" s="6" t="n">
        <f aca="false">PRODUCT(IF(B36=1,0.7,1-0.7), IF(A36=1,0.7,1-0.7),
          IF(C36=1,0.7,1-0.7),
          IF(D36=1,0.7,1-0.7),
          IF(E36=1,0.7,1-0.7),
          IF(F36=1,0.7,1-0.7),
          IF(G36=1,0.7,1-0.7)) * M36</f>
        <v>0</v>
      </c>
      <c r="K36" s="6" t="n">
        <f aca="false">PRODUCT(IF(B36=1,0.8,1-0.8),IF(A36=1,0.8,1-0.8),
          IF(C36=1,0.8,1-0.8),
          IF(D36=1,0.8,1-0.8),
          IF(E36=1,0.8,1-0.8),
          IF(F36=1,0.8,1-0.8),
          IF(G36=1,0.8,1-0.8)) * M36</f>
        <v>0</v>
      </c>
      <c r="L36" s="6" t="n">
        <f aca="false">PRODUCT(IF(B36=1,0.9,1-0.9), IF(A36=1,0.9,1-0.9),
          IF(C36=1,0.9,1-0.9),
          IF(D36=1,0.9,1-0.9),
          IF(E36=1,0.9,1-0.9),
          IF(F36=1,0.9,1-0.9),
          IF(G36=1,0.9,1-0.9)) * M36</f>
        <v>0</v>
      </c>
      <c r="M36" s="2" t="n">
        <f aca="false">IF(C36=1,1,IF(AND(B36=1,A36=1,G36=1,D36=1),1,IF(AND(B36=1,A36=1,F36=1,D36=1,E36=1)
,1,0)))</f>
        <v>0</v>
      </c>
    </row>
    <row r="37" customFormat="false" ht="14.25" hidden="false" customHeight="false" outlineLevel="0" collapsed="false">
      <c r="A37" s="2" t="n">
        <v>0</v>
      </c>
      <c r="B37" s="2" t="n">
        <v>1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1</v>
      </c>
      <c r="H37" s="1" t="n">
        <f aca="false"> ((($A37*$A$2)+(1-$A$2)*(1-$A37))* (($B37*$B$2)+(1-$B$2)*(1-$B37)) *(($C37*$C$2)+(1-
$C$2)*(1-$C37))* (($D37*$D$2)+(1-$D$2)*(1-$D37))* (($E37*$E$2)+(1-$E$2)*(1-$E37))*
(($F37*$F$2)+(1-$F$2)*(1-$F37))* (($G37*$G$2)+(1-$G$2)*(1-$G37)))*$M37</f>
        <v>0</v>
      </c>
      <c r="I37" s="6" t="n">
        <f aca="false">PRODUCT(IF(B37=1,0.6,1-0.6), IF(A37=1,0.6,1-0.6),
        IF(C37=1,0.6,1-0.6),
        IF(D37=1,0.6,1-0.6),
        IF(E37=1,0.6,1-0.6),
        IF(F37=1,0.6,1-0.6),
        IF(G37=1,0.6,1-0.6)) * M37</f>
        <v>0</v>
      </c>
      <c r="J37" s="6" t="n">
        <f aca="false">PRODUCT(IF(B37=1,0.7,1-0.7), IF(A37=1,0.7,1-0.7),
          IF(C37=1,0.7,1-0.7),
          IF(D37=1,0.7,1-0.7),
          IF(E37=1,0.7,1-0.7),
          IF(F37=1,0.7,1-0.7),
          IF(G37=1,0.7,1-0.7)) * M37</f>
        <v>0</v>
      </c>
      <c r="K37" s="6" t="n">
        <f aca="false">PRODUCT(IF(B37=1,0.8,1-0.8),IF(A37=1,0.8,1-0.8),
          IF(C37=1,0.8,1-0.8),
          IF(D37=1,0.8,1-0.8),
          IF(E37=1,0.8,1-0.8),
          IF(F37=1,0.8,1-0.8),
          IF(G37=1,0.8,1-0.8)) * M37</f>
        <v>0</v>
      </c>
      <c r="L37" s="6" t="n">
        <f aca="false">PRODUCT(IF(B37=1,0.9,1-0.9), IF(A37=1,0.9,1-0.9),
          IF(C37=1,0.9,1-0.9),
          IF(D37=1,0.9,1-0.9),
          IF(E37=1,0.9,1-0.9),
          IF(F37=1,0.9,1-0.9),
          IF(G37=1,0.9,1-0.9)) * M37</f>
        <v>0</v>
      </c>
      <c r="M37" s="2" t="n">
        <f aca="false">IF(C37=1,1,IF(AND(B37=1,A37=1,G37=1,D37=1),1,IF(AND(B37=1,A37=1,F37=1,D37=1,E37=1)
,1,0)))</f>
        <v>0</v>
      </c>
    </row>
    <row r="38" customFormat="false" ht="14.25" hidden="false" customHeight="false" outlineLevel="0" collapsed="false">
      <c r="A38" s="2" t="n">
        <v>0</v>
      </c>
      <c r="B38" s="2" t="n">
        <v>1</v>
      </c>
      <c r="C38" s="2" t="n">
        <v>0</v>
      </c>
      <c r="D38" s="2" t="n">
        <v>0</v>
      </c>
      <c r="E38" s="2" t="n">
        <v>0</v>
      </c>
      <c r="F38" s="2" t="n">
        <v>1</v>
      </c>
      <c r="G38" s="2" t="n">
        <v>0</v>
      </c>
      <c r="H38" s="1" t="n">
        <f aca="false"> ((($A38*$A$2)+(1-$A$2)*(1-$A38))* (($B38*$B$2)+(1-$B$2)*(1-$B38)) *(($C38*$C$2)+(1-
$C$2)*(1-$C38))* (($D38*$D$2)+(1-$D$2)*(1-$D38))* (($E38*$E$2)+(1-$E$2)*(1-$E38))*
(($F38*$F$2)+(1-$F$2)*(1-$F38))* (($G38*$G$2)+(1-$G$2)*(1-$G38)))*$M38</f>
        <v>0</v>
      </c>
      <c r="I38" s="6" t="n">
        <f aca="false">PRODUCT(IF(B38=1,0.6,1-0.6), IF(A38=1,0.6,1-0.6),
        IF(C38=1,0.6,1-0.6),
        IF(D38=1,0.6,1-0.6),
        IF(E38=1,0.6,1-0.6),
        IF(F38=1,0.6,1-0.6),
        IF(G38=1,0.6,1-0.6)) * M38</f>
        <v>0</v>
      </c>
      <c r="J38" s="6" t="n">
        <f aca="false">PRODUCT(IF(B38=1,0.7,1-0.7), IF(A38=1,0.7,1-0.7),
          IF(C38=1,0.7,1-0.7),
          IF(D38=1,0.7,1-0.7),
          IF(E38=1,0.7,1-0.7),
          IF(F38=1,0.7,1-0.7),
          IF(G38=1,0.7,1-0.7)) * M38</f>
        <v>0</v>
      </c>
      <c r="K38" s="6" t="n">
        <f aca="false">PRODUCT(IF(B38=1,0.8,1-0.8),IF(A38=1,0.8,1-0.8),
          IF(C38=1,0.8,1-0.8),
          IF(D38=1,0.8,1-0.8),
          IF(E38=1,0.8,1-0.8),
          IF(F38=1,0.8,1-0.8),
          IF(G38=1,0.8,1-0.8)) * M38</f>
        <v>0</v>
      </c>
      <c r="L38" s="6" t="n">
        <f aca="false">PRODUCT(IF(B38=1,0.9,1-0.9), IF(A38=1,0.9,1-0.9),
          IF(C38=1,0.9,1-0.9),
          IF(D38=1,0.9,1-0.9),
          IF(E38=1,0.9,1-0.9),
          IF(F38=1,0.9,1-0.9),
          IF(G38=1,0.9,1-0.9)) * M38</f>
        <v>0</v>
      </c>
      <c r="M38" s="2" t="n">
        <f aca="false">IF(C38=1,1,IF(AND(B38=1,A38=1,G38=1,D38=1),1,IF(AND(B38=1,A38=1,F38=1,D38=1,E38=1)
,1,0)))</f>
        <v>0</v>
      </c>
    </row>
    <row r="39" customFormat="false" ht="14.25" hidden="false" customHeight="false" outlineLevel="0" collapsed="false">
      <c r="A39" s="2" t="n">
        <v>0</v>
      </c>
      <c r="B39" s="2" t="n">
        <v>1</v>
      </c>
      <c r="C39" s="2" t="n">
        <v>0</v>
      </c>
      <c r="D39" s="2" t="n">
        <v>0</v>
      </c>
      <c r="E39" s="2" t="n">
        <v>0</v>
      </c>
      <c r="F39" s="2" t="n">
        <v>1</v>
      </c>
      <c r="G39" s="2" t="n">
        <v>1</v>
      </c>
      <c r="H39" s="1" t="n">
        <f aca="false"> ((($A39*$A$2)+(1-$A$2)*(1-$A39))* (($B39*$B$2)+(1-$B$2)*(1-$B39)) *(($C39*$C$2)+(1-
$C$2)*(1-$C39))* (($D39*$D$2)+(1-$D$2)*(1-$D39))* (($E39*$E$2)+(1-$E$2)*(1-$E39))*
(($F39*$F$2)+(1-$F$2)*(1-$F39))* (($G39*$G$2)+(1-$G$2)*(1-$G39)))*$M39</f>
        <v>0</v>
      </c>
      <c r="I39" s="6" t="n">
        <f aca="false">PRODUCT(IF(B39=1,0.6,1-0.6), IF(A39=1,0.6,1-0.6),
        IF(C39=1,0.6,1-0.6),
        IF(D39=1,0.6,1-0.6),
        IF(E39=1,0.6,1-0.6),
        IF(F39=1,0.6,1-0.6),
        IF(G39=1,0.6,1-0.6)) * M39</f>
        <v>0</v>
      </c>
      <c r="J39" s="6" t="n">
        <f aca="false">PRODUCT(IF(B39=1,0.7,1-0.7), IF(A39=1,0.7,1-0.7),
          IF(C39=1,0.7,1-0.7),
          IF(D39=1,0.7,1-0.7),
          IF(E39=1,0.7,1-0.7),
          IF(F39=1,0.7,1-0.7),
          IF(G39=1,0.7,1-0.7)) * M39</f>
        <v>0</v>
      </c>
      <c r="K39" s="6" t="n">
        <f aca="false">PRODUCT(IF(B39=1,0.8,1-0.8),IF(A39=1,0.8,1-0.8),
          IF(C39=1,0.8,1-0.8),
          IF(D39=1,0.8,1-0.8),
          IF(E39=1,0.8,1-0.8),
          IF(F39=1,0.8,1-0.8),
          IF(G39=1,0.8,1-0.8)) * M39</f>
        <v>0</v>
      </c>
      <c r="L39" s="6" t="n">
        <f aca="false">PRODUCT(IF(B39=1,0.9,1-0.9), IF(A39=1,0.9,1-0.9),
          IF(C39=1,0.9,1-0.9),
          IF(D39=1,0.9,1-0.9),
          IF(E39=1,0.9,1-0.9),
          IF(F39=1,0.9,1-0.9),
          IF(G39=1,0.9,1-0.9)) * M39</f>
        <v>0</v>
      </c>
      <c r="M39" s="2" t="n">
        <f aca="false">IF(C39=1,1,IF(AND(B39=1,A39=1,G39=1,D39=1),1,IF(AND(B39=1,A39=1,F39=1,D39=1,E39=1)
,1,0)))</f>
        <v>0</v>
      </c>
    </row>
    <row r="40" customFormat="false" ht="14.25" hidden="false" customHeight="false" outlineLevel="0" collapsed="false">
      <c r="A40" s="2" t="n">
        <v>0</v>
      </c>
      <c r="B40" s="2" t="n">
        <v>1</v>
      </c>
      <c r="C40" s="2" t="n">
        <v>0</v>
      </c>
      <c r="D40" s="2" t="n">
        <v>0</v>
      </c>
      <c r="E40" s="2" t="n">
        <v>1</v>
      </c>
      <c r="F40" s="2" t="n">
        <v>0</v>
      </c>
      <c r="G40" s="2" t="n">
        <v>0</v>
      </c>
      <c r="H40" s="1" t="n">
        <f aca="false"> ((($A40*$A$2)+(1-$A$2)*(1-$A40))* (($B40*$B$2)+(1-$B$2)*(1-$B40)) *(($C40*$C$2)+(1-
$C$2)*(1-$C40))* (($D40*$D$2)+(1-$D$2)*(1-$D40))* (($E40*$E$2)+(1-$E$2)*(1-$E40))*
(($F40*$F$2)+(1-$F$2)*(1-$F40))* (($G40*$G$2)+(1-$G$2)*(1-$G40)))*$M40</f>
        <v>0</v>
      </c>
      <c r="I40" s="6" t="n">
        <f aca="false">PRODUCT(IF(B40=1,0.6,1-0.6), IF(A40=1,0.6,1-0.6),
        IF(C40=1,0.6,1-0.6),
        IF(D40=1,0.6,1-0.6),
        IF(E40=1,0.6,1-0.6),
        IF(F40=1,0.6,1-0.6),
        IF(G40=1,0.6,1-0.6)) * M40</f>
        <v>0</v>
      </c>
      <c r="J40" s="6" t="n">
        <f aca="false">PRODUCT(IF(B40=1,0.7,1-0.7), IF(A40=1,0.7,1-0.7),
          IF(C40=1,0.7,1-0.7),
          IF(D40=1,0.7,1-0.7),
          IF(E40=1,0.7,1-0.7),
          IF(F40=1,0.7,1-0.7),
          IF(G40=1,0.7,1-0.7)) * M40</f>
        <v>0</v>
      </c>
      <c r="K40" s="6" t="n">
        <f aca="false">PRODUCT(IF(B40=1,0.8,1-0.8),IF(A40=1,0.8,1-0.8),
          IF(C40=1,0.8,1-0.8),
          IF(D40=1,0.8,1-0.8),
          IF(E40=1,0.8,1-0.8),
          IF(F40=1,0.8,1-0.8),
          IF(G40=1,0.8,1-0.8)) * M40</f>
        <v>0</v>
      </c>
      <c r="L40" s="6" t="n">
        <f aca="false">PRODUCT(IF(B40=1,0.9,1-0.9), IF(A40=1,0.9,1-0.9),
          IF(C40=1,0.9,1-0.9),
          IF(D40=1,0.9,1-0.9),
          IF(E40=1,0.9,1-0.9),
          IF(F40=1,0.9,1-0.9),
          IF(G40=1,0.9,1-0.9)) * M40</f>
        <v>0</v>
      </c>
      <c r="M40" s="2" t="n">
        <f aca="false">IF(C40=1,1,IF(AND(B40=1,A40=1,G40=1,D40=1),1,IF(AND(B40=1,A40=1,F40=1,D40=1,E40=1)
,1,0)))</f>
        <v>0</v>
      </c>
    </row>
    <row r="41" customFormat="false" ht="14.25" hidden="false" customHeight="false" outlineLevel="0" collapsed="false">
      <c r="A41" s="2" t="n">
        <v>0</v>
      </c>
      <c r="B41" s="2" t="n">
        <v>1</v>
      </c>
      <c r="C41" s="2" t="n">
        <v>0</v>
      </c>
      <c r="D41" s="2" t="n">
        <v>0</v>
      </c>
      <c r="E41" s="2" t="n">
        <v>1</v>
      </c>
      <c r="F41" s="2" t="n">
        <v>0</v>
      </c>
      <c r="G41" s="2" t="n">
        <v>1</v>
      </c>
      <c r="H41" s="1" t="n">
        <f aca="false"> ((($A41*$A$2)+(1-$A$2)*(1-$A41))* (($B41*$B$2)+(1-$B$2)*(1-$B41)) *(($C41*$C$2)+(1-
$C$2)*(1-$C41))* (($D41*$D$2)+(1-$D$2)*(1-$D41))* (($E41*$E$2)+(1-$E$2)*(1-$E41))*
(($F41*$F$2)+(1-$F$2)*(1-$F41))* (($G41*$G$2)+(1-$G$2)*(1-$G41)))*$M41</f>
        <v>0</v>
      </c>
      <c r="I41" s="6" t="n">
        <f aca="false">PRODUCT(IF(B41=1,0.6,1-0.6), IF(A41=1,0.6,1-0.6),
        IF(C41=1,0.6,1-0.6),
        IF(D41=1,0.6,1-0.6),
        IF(E41=1,0.6,1-0.6),
        IF(F41=1,0.6,1-0.6),
        IF(G41=1,0.6,1-0.6)) * M41</f>
        <v>0</v>
      </c>
      <c r="J41" s="6" t="n">
        <f aca="false">PRODUCT(IF(B41=1,0.7,1-0.7), IF(A41=1,0.7,1-0.7),
          IF(C41=1,0.7,1-0.7),
          IF(D41=1,0.7,1-0.7),
          IF(E41=1,0.7,1-0.7),
          IF(F41=1,0.7,1-0.7),
          IF(G41=1,0.7,1-0.7)) * M41</f>
        <v>0</v>
      </c>
      <c r="K41" s="6" t="n">
        <f aca="false">PRODUCT(IF(B41=1,0.8,1-0.8),IF(A41=1,0.8,1-0.8),
          IF(C41=1,0.8,1-0.8),
          IF(D41=1,0.8,1-0.8),
          IF(E41=1,0.8,1-0.8),
          IF(F41=1,0.8,1-0.8),
          IF(G41=1,0.8,1-0.8)) * M41</f>
        <v>0</v>
      </c>
      <c r="L41" s="6" t="n">
        <f aca="false">PRODUCT(IF(B41=1,0.9,1-0.9), IF(A41=1,0.9,1-0.9),
          IF(C41=1,0.9,1-0.9),
          IF(D41=1,0.9,1-0.9),
          IF(E41=1,0.9,1-0.9),
          IF(F41=1,0.9,1-0.9),
          IF(G41=1,0.9,1-0.9)) * M41</f>
        <v>0</v>
      </c>
      <c r="M41" s="2" t="n">
        <f aca="false">IF(C41=1,1,IF(AND(B41=1,A41=1,G41=1,D41=1),1,IF(AND(B41=1,A41=1,F41=1,D41=1,E41=1)
,1,0)))</f>
        <v>0</v>
      </c>
    </row>
    <row r="42" customFormat="false" ht="14.25" hidden="false" customHeight="false" outlineLevel="0" collapsed="false">
      <c r="A42" s="2" t="n">
        <v>0</v>
      </c>
      <c r="B42" s="2" t="n">
        <v>1</v>
      </c>
      <c r="C42" s="2" t="n">
        <v>0</v>
      </c>
      <c r="D42" s="2" t="n">
        <v>0</v>
      </c>
      <c r="E42" s="2" t="n">
        <v>1</v>
      </c>
      <c r="F42" s="2" t="n">
        <v>1</v>
      </c>
      <c r="G42" s="2" t="n">
        <v>0</v>
      </c>
      <c r="H42" s="1" t="n">
        <f aca="false"> ((($A42*$A$2)+(1-$A$2)*(1-$A42))* (($B42*$B$2)+(1-$B$2)*(1-$B42)) *(($C42*$C$2)+(1-
$C$2)*(1-$C42))* (($D42*$D$2)+(1-$D$2)*(1-$D42))* (($E42*$E$2)+(1-$E$2)*(1-$E42))*
(($F42*$F$2)+(1-$F$2)*(1-$F42))* (($G42*$G$2)+(1-$G$2)*(1-$G42)))*$M42</f>
        <v>0</v>
      </c>
      <c r="I42" s="6" t="n">
        <f aca="false">PRODUCT(IF(B42=1,0.6,1-0.6), IF(A42=1,0.6,1-0.6),
        IF(C42=1,0.6,1-0.6),
        IF(D42=1,0.6,1-0.6),
        IF(E42=1,0.6,1-0.6),
        IF(F42=1,0.6,1-0.6),
        IF(G42=1,0.6,1-0.6)) * M42</f>
        <v>0</v>
      </c>
      <c r="J42" s="6" t="n">
        <f aca="false">PRODUCT(IF(B42=1,0.7,1-0.7), IF(A42=1,0.7,1-0.7),
          IF(C42=1,0.7,1-0.7),
          IF(D42=1,0.7,1-0.7),
          IF(E42=1,0.7,1-0.7),
          IF(F42=1,0.7,1-0.7),
          IF(G42=1,0.7,1-0.7)) * M42</f>
        <v>0</v>
      </c>
      <c r="K42" s="6" t="n">
        <f aca="false">PRODUCT(IF(B42=1,0.8,1-0.8),IF(A42=1,0.8,1-0.8),
          IF(C42=1,0.8,1-0.8),
          IF(D42=1,0.8,1-0.8),
          IF(E42=1,0.8,1-0.8),
          IF(F42=1,0.8,1-0.8),
          IF(G42=1,0.8,1-0.8)) * M42</f>
        <v>0</v>
      </c>
      <c r="L42" s="6" t="n">
        <f aca="false">PRODUCT(IF(B42=1,0.9,1-0.9), IF(A42=1,0.9,1-0.9),
          IF(C42=1,0.9,1-0.9),
          IF(D42=1,0.9,1-0.9),
          IF(E42=1,0.9,1-0.9),
          IF(F42=1,0.9,1-0.9),
          IF(G42=1,0.9,1-0.9)) * M42</f>
        <v>0</v>
      </c>
      <c r="M42" s="2" t="n">
        <f aca="false">IF(C42=1,1,IF(AND(B42=1,A42=1,G42=1,D42=1),1,IF(AND(B42=1,A42=1,F42=1,D42=1,E42=1)
,1,0)))</f>
        <v>0</v>
      </c>
    </row>
    <row r="43" customFormat="false" ht="14.25" hidden="false" customHeight="false" outlineLevel="0" collapsed="false">
      <c r="A43" s="2" t="n">
        <v>0</v>
      </c>
      <c r="B43" s="2" t="n">
        <v>1</v>
      </c>
      <c r="C43" s="2" t="n">
        <v>0</v>
      </c>
      <c r="D43" s="2" t="n">
        <v>0</v>
      </c>
      <c r="E43" s="2" t="n">
        <v>1</v>
      </c>
      <c r="F43" s="2" t="n">
        <v>1</v>
      </c>
      <c r="G43" s="2" t="n">
        <v>1</v>
      </c>
      <c r="H43" s="1" t="n">
        <f aca="false"> ((($A43*$A$2)+(1-$A$2)*(1-$A43))* (($B43*$B$2)+(1-$B$2)*(1-$B43)) *(($C43*$C$2)+(1-
$C$2)*(1-$C43))* (($D43*$D$2)+(1-$D$2)*(1-$D43))* (($E43*$E$2)+(1-$E$2)*(1-$E43))*
(($F43*$F$2)+(1-$F$2)*(1-$F43))* (($G43*$G$2)+(1-$G$2)*(1-$G43)))*$M43</f>
        <v>0</v>
      </c>
      <c r="I43" s="6" t="n">
        <f aca="false">PRODUCT(IF(B43=1,0.6,1-0.6), IF(A43=1,0.6,1-0.6),
        IF(C43=1,0.6,1-0.6),
        IF(D43=1,0.6,1-0.6),
        IF(E43=1,0.6,1-0.6),
        IF(F43=1,0.6,1-0.6),
        IF(G43=1,0.6,1-0.6)) * M43</f>
        <v>0</v>
      </c>
      <c r="J43" s="6" t="n">
        <f aca="false">PRODUCT(IF(B43=1,0.7,1-0.7), IF(A43=1,0.7,1-0.7),
          IF(C43=1,0.7,1-0.7),
          IF(D43=1,0.7,1-0.7),
          IF(E43=1,0.7,1-0.7),
          IF(F43=1,0.7,1-0.7),
          IF(G43=1,0.7,1-0.7)) * M43</f>
        <v>0</v>
      </c>
      <c r="K43" s="6" t="n">
        <f aca="false">PRODUCT(IF(B43=1,0.8,1-0.8),IF(A43=1,0.8,1-0.8),
          IF(C43=1,0.8,1-0.8),
          IF(D43=1,0.8,1-0.8),
          IF(E43=1,0.8,1-0.8),
          IF(F43=1,0.8,1-0.8),
          IF(G43=1,0.8,1-0.8)) * M43</f>
        <v>0</v>
      </c>
      <c r="L43" s="6" t="n">
        <f aca="false">PRODUCT(IF(B43=1,0.9,1-0.9), IF(A43=1,0.9,1-0.9),
          IF(C43=1,0.9,1-0.9),
          IF(D43=1,0.9,1-0.9),
          IF(E43=1,0.9,1-0.9),
          IF(F43=1,0.9,1-0.9),
          IF(G43=1,0.9,1-0.9)) * M43</f>
        <v>0</v>
      </c>
      <c r="M43" s="2" t="n">
        <f aca="false">IF(C43=1,1,IF(AND(B43=1,A43=1,G43=1,D43=1),1,IF(AND(B43=1,A43=1,F43=1,D43=1,E43=1)
,1,0)))</f>
        <v>0</v>
      </c>
    </row>
    <row r="44" customFormat="false" ht="14.25" hidden="false" customHeight="false" outlineLevel="0" collapsed="false">
      <c r="A44" s="2" t="n">
        <v>0</v>
      </c>
      <c r="B44" s="2" t="n">
        <v>1</v>
      </c>
      <c r="C44" s="2" t="n">
        <v>0</v>
      </c>
      <c r="D44" s="2" t="n">
        <v>1</v>
      </c>
      <c r="E44" s="2" t="n">
        <v>0</v>
      </c>
      <c r="F44" s="2" t="n">
        <v>0</v>
      </c>
      <c r="G44" s="2" t="n">
        <v>0</v>
      </c>
      <c r="H44" s="1" t="n">
        <f aca="false"> ((($A44*$A$2)+(1-$A$2)*(1-$A44))* (($B44*$B$2)+(1-$B$2)*(1-$B44)) *(($C44*$C$2)+(1-
$C$2)*(1-$C44))* (($D44*$D$2)+(1-$D$2)*(1-$D44))* (($E44*$E$2)+(1-$E$2)*(1-$E44))*
(($F44*$F$2)+(1-$F$2)*(1-$F44))* (($G44*$G$2)+(1-$G$2)*(1-$G44)))*$M44</f>
        <v>0</v>
      </c>
      <c r="I44" s="6" t="n">
        <f aca="false">PRODUCT(IF(B44=1,0.6,1-0.6), IF(A44=1,0.6,1-0.6),
        IF(C44=1,0.6,1-0.6),
        IF(D44=1,0.6,1-0.6),
        IF(E44=1,0.6,1-0.6),
        IF(F44=1,0.6,1-0.6),
        IF(G44=1,0.6,1-0.6)) * M44</f>
        <v>0</v>
      </c>
      <c r="J44" s="6" t="n">
        <f aca="false">PRODUCT(IF(B44=1,0.7,1-0.7), IF(A44=1,0.7,1-0.7),
          IF(C44=1,0.7,1-0.7),
          IF(D44=1,0.7,1-0.7),
          IF(E44=1,0.7,1-0.7),
          IF(F44=1,0.7,1-0.7),
          IF(G44=1,0.7,1-0.7)) * M44</f>
        <v>0</v>
      </c>
      <c r="K44" s="6" t="n">
        <f aca="false">PRODUCT(IF(B44=1,0.8,1-0.8),IF(A44=1,0.8,1-0.8),
          IF(C44=1,0.8,1-0.8),
          IF(D44=1,0.8,1-0.8),
          IF(E44=1,0.8,1-0.8),
          IF(F44=1,0.8,1-0.8),
          IF(G44=1,0.8,1-0.8)) * M44</f>
        <v>0</v>
      </c>
      <c r="L44" s="6" t="n">
        <f aca="false">PRODUCT(IF(B44=1,0.9,1-0.9), IF(A44=1,0.9,1-0.9),
          IF(C44=1,0.9,1-0.9),
          IF(D44=1,0.9,1-0.9),
          IF(E44=1,0.9,1-0.9),
          IF(F44=1,0.9,1-0.9),
          IF(G44=1,0.9,1-0.9)) * M44</f>
        <v>0</v>
      </c>
      <c r="M44" s="2" t="n">
        <f aca="false">IF(C44=1,1,IF(AND(B44=1,A44=1,G44=1,D44=1),1,IF(AND(B44=1,A44=1,F44=1,D44=1,E44=1)
,1,0)))</f>
        <v>0</v>
      </c>
    </row>
    <row r="45" customFormat="false" ht="14.25" hidden="false" customHeight="false" outlineLevel="0" collapsed="false">
      <c r="A45" s="2" t="n">
        <v>0</v>
      </c>
      <c r="B45" s="2" t="n">
        <v>1</v>
      </c>
      <c r="C45" s="2" t="n">
        <v>0</v>
      </c>
      <c r="D45" s="2" t="n">
        <v>1</v>
      </c>
      <c r="E45" s="2" t="n">
        <v>0</v>
      </c>
      <c r="F45" s="2" t="n">
        <v>0</v>
      </c>
      <c r="G45" s="2" t="n">
        <v>1</v>
      </c>
      <c r="H45" s="1" t="n">
        <f aca="false"> ((($A45*$A$2)+(1-$A$2)*(1-$A45))* (($B45*$B$2)+(1-$B$2)*(1-$B45)) *(($C45*$C$2)+(1-
$C$2)*(1-$C45))* (($D45*$D$2)+(1-$D$2)*(1-$D45))* (($E45*$E$2)+(1-$E$2)*(1-$E45))*
(($F45*$F$2)+(1-$F$2)*(1-$F45))* (($G45*$G$2)+(1-$G$2)*(1-$G45)))*$M45</f>
        <v>0</v>
      </c>
      <c r="I45" s="6" t="n">
        <f aca="false">PRODUCT(IF(B45=1,0.6,1-0.6), IF(A45=1,0.6,1-0.6),
        IF(C45=1,0.6,1-0.6),
        IF(D45=1,0.6,1-0.6),
        IF(E45=1,0.6,1-0.6),
        IF(F45=1,0.6,1-0.6),
        IF(G45=1,0.6,1-0.6)) * M45</f>
        <v>0</v>
      </c>
      <c r="J45" s="6" t="n">
        <f aca="false">PRODUCT(IF(B45=1,0.7,1-0.7), IF(A45=1,0.7,1-0.7),
          IF(C45=1,0.7,1-0.7),
          IF(D45=1,0.7,1-0.7),
          IF(E45=1,0.7,1-0.7),
          IF(F45=1,0.7,1-0.7),
          IF(G45=1,0.7,1-0.7)) * M45</f>
        <v>0</v>
      </c>
      <c r="K45" s="6" t="n">
        <f aca="false">PRODUCT(IF(B45=1,0.8,1-0.8),IF(A45=1,0.8,1-0.8),
          IF(C45=1,0.8,1-0.8),
          IF(D45=1,0.8,1-0.8),
          IF(E45=1,0.8,1-0.8),
          IF(F45=1,0.8,1-0.8),
          IF(G45=1,0.8,1-0.8)) * M45</f>
        <v>0</v>
      </c>
      <c r="L45" s="6" t="n">
        <f aca="false">PRODUCT(IF(B45=1,0.9,1-0.9), IF(A45=1,0.9,1-0.9),
          IF(C45=1,0.9,1-0.9),
          IF(D45=1,0.9,1-0.9),
          IF(E45=1,0.9,1-0.9),
          IF(F45=1,0.9,1-0.9),
          IF(G45=1,0.9,1-0.9)) * M45</f>
        <v>0</v>
      </c>
      <c r="M45" s="2" t="n">
        <f aca="false">IF(C45=1,1,IF(AND(B45=1,A45=1,G45=1,D45=1),1,IF(AND(B45=1,A45=1,F45=1,D45=1,E45=1)
,1,0)))</f>
        <v>0</v>
      </c>
    </row>
    <row r="46" customFormat="false" ht="14.25" hidden="false" customHeight="false" outlineLevel="0" collapsed="false">
      <c r="A46" s="2" t="n">
        <v>0</v>
      </c>
      <c r="B46" s="2" t="n">
        <v>1</v>
      </c>
      <c r="C46" s="2" t="n">
        <v>0</v>
      </c>
      <c r="D46" s="2" t="n">
        <v>1</v>
      </c>
      <c r="E46" s="2" t="n">
        <v>0</v>
      </c>
      <c r="F46" s="2" t="n">
        <v>1</v>
      </c>
      <c r="G46" s="2" t="n">
        <v>0</v>
      </c>
      <c r="H46" s="1" t="n">
        <f aca="false"> ((($A46*$A$2)+(1-$A$2)*(1-$A46))* (($B46*$B$2)+(1-$B$2)*(1-$B46)) *(($C46*$C$2)+(1-
$C$2)*(1-$C46))* (($D46*$D$2)+(1-$D$2)*(1-$D46))* (($E46*$E$2)+(1-$E$2)*(1-$E46))*
(($F46*$F$2)+(1-$F$2)*(1-$F46))* (($G46*$G$2)+(1-$G$2)*(1-$G46)))*$M46</f>
        <v>0</v>
      </c>
      <c r="I46" s="6" t="n">
        <f aca="false">PRODUCT(IF(B46=1,0.6,1-0.6), IF(A46=1,0.6,1-0.6),
        IF(C46=1,0.6,1-0.6),
        IF(D46=1,0.6,1-0.6),
        IF(E46=1,0.6,1-0.6),
        IF(F46=1,0.6,1-0.6),
        IF(G46=1,0.6,1-0.6)) * M46</f>
        <v>0</v>
      </c>
      <c r="J46" s="6" t="n">
        <f aca="false">PRODUCT(IF(B46=1,0.7,1-0.7), IF(A46=1,0.7,1-0.7),
          IF(C46=1,0.7,1-0.7),
          IF(D46=1,0.7,1-0.7),
          IF(E46=1,0.7,1-0.7),
          IF(F46=1,0.7,1-0.7),
          IF(G46=1,0.7,1-0.7)) * M46</f>
        <v>0</v>
      </c>
      <c r="K46" s="6" t="n">
        <f aca="false">PRODUCT(IF(B46=1,0.8,1-0.8),IF(A46=1,0.8,1-0.8),
          IF(C46=1,0.8,1-0.8),
          IF(D46=1,0.8,1-0.8),
          IF(E46=1,0.8,1-0.8),
          IF(F46=1,0.8,1-0.8),
          IF(G46=1,0.8,1-0.8)) * M46</f>
        <v>0</v>
      </c>
      <c r="L46" s="6" t="n">
        <f aca="false">PRODUCT(IF(B46=1,0.9,1-0.9), IF(A46=1,0.9,1-0.9),
          IF(C46=1,0.9,1-0.9),
          IF(D46=1,0.9,1-0.9),
          IF(E46=1,0.9,1-0.9),
          IF(F46=1,0.9,1-0.9),
          IF(G46=1,0.9,1-0.9)) * M46</f>
        <v>0</v>
      </c>
      <c r="M46" s="2" t="n">
        <f aca="false">IF(C46=1,1,IF(AND(B46=1,A46=1,G46=1,D46=1),1,IF(AND(B46=1,A46=1,F46=1,D46=1,E46=1)
,1,0)))</f>
        <v>0</v>
      </c>
    </row>
    <row r="47" customFormat="false" ht="14.25" hidden="false" customHeight="false" outlineLevel="0" collapsed="false">
      <c r="A47" s="2" t="n">
        <v>0</v>
      </c>
      <c r="B47" s="2" t="n">
        <v>1</v>
      </c>
      <c r="C47" s="2" t="n">
        <v>0</v>
      </c>
      <c r="D47" s="2" t="n">
        <v>1</v>
      </c>
      <c r="E47" s="2" t="n">
        <v>0</v>
      </c>
      <c r="F47" s="2" t="n">
        <v>1</v>
      </c>
      <c r="G47" s="2" t="n">
        <v>1</v>
      </c>
      <c r="H47" s="1" t="n">
        <f aca="false"> ((($A47*$A$2)+(1-$A$2)*(1-$A47))* (($B47*$B$2)+(1-$B$2)*(1-$B47)) *(($C47*$C$2)+(1-
$C$2)*(1-$C47))* (($D47*$D$2)+(1-$D$2)*(1-$D47))* (($E47*$E$2)+(1-$E$2)*(1-$E47))*
(($F47*$F$2)+(1-$F$2)*(1-$F47))* (($G47*$G$2)+(1-$G$2)*(1-$G47)))*$M47</f>
        <v>0</v>
      </c>
      <c r="I47" s="6" t="n">
        <f aca="false">PRODUCT(IF(B47=1,0.6,1-0.6), IF(A47=1,0.6,1-0.6),
        IF(C47=1,0.6,1-0.6),
        IF(D47=1,0.6,1-0.6),
        IF(E47=1,0.6,1-0.6),
        IF(F47=1,0.6,1-0.6),
        IF(G47=1,0.6,1-0.6)) * M47</f>
        <v>0</v>
      </c>
      <c r="J47" s="6" t="n">
        <f aca="false">PRODUCT(IF(B47=1,0.7,1-0.7), IF(A47=1,0.7,1-0.7),
          IF(C47=1,0.7,1-0.7),
          IF(D47=1,0.7,1-0.7),
          IF(E47=1,0.7,1-0.7),
          IF(F47=1,0.7,1-0.7),
          IF(G47=1,0.7,1-0.7)) * M47</f>
        <v>0</v>
      </c>
      <c r="K47" s="6" t="n">
        <f aca="false">PRODUCT(IF(B47=1,0.8,1-0.8),IF(A47=1,0.8,1-0.8),
          IF(C47=1,0.8,1-0.8),
          IF(D47=1,0.8,1-0.8),
          IF(E47=1,0.8,1-0.8),
          IF(F47=1,0.8,1-0.8),
          IF(G47=1,0.8,1-0.8)) * M47</f>
        <v>0</v>
      </c>
      <c r="L47" s="6" t="n">
        <f aca="false">PRODUCT(IF(B47=1,0.9,1-0.9), IF(A47=1,0.9,1-0.9),
          IF(C47=1,0.9,1-0.9),
          IF(D47=1,0.9,1-0.9),
          IF(E47=1,0.9,1-0.9),
          IF(F47=1,0.9,1-0.9),
          IF(G47=1,0.9,1-0.9)) * M47</f>
        <v>0</v>
      </c>
      <c r="M47" s="2" t="n">
        <f aca="false">IF(C47=1,1,IF(AND(B47=1,A47=1,G47=1,D47=1),1,IF(AND(B47=1,A47=1,F47=1,D47=1,E47=1)
,1,0)))</f>
        <v>0</v>
      </c>
    </row>
    <row r="48" customFormat="false" ht="14.25" hidden="false" customHeight="false" outlineLevel="0" collapsed="false">
      <c r="A48" s="2" t="n">
        <v>0</v>
      </c>
      <c r="B48" s="2" t="n">
        <v>1</v>
      </c>
      <c r="C48" s="2" t="n">
        <v>0</v>
      </c>
      <c r="D48" s="2" t="n">
        <v>1</v>
      </c>
      <c r="E48" s="2" t="n">
        <v>1</v>
      </c>
      <c r="F48" s="2" t="n">
        <v>0</v>
      </c>
      <c r="G48" s="2" t="n">
        <v>0</v>
      </c>
      <c r="H48" s="1" t="n">
        <f aca="false"> ((($A48*$A$2)+(1-$A$2)*(1-$A48))* (($B48*$B$2)+(1-$B$2)*(1-$B48)) *(($C48*$C$2)+(1-
$C$2)*(1-$C48))* (($D48*$D$2)+(1-$D$2)*(1-$D48))* (($E48*$E$2)+(1-$E$2)*(1-$E48))*
(($F48*$F$2)+(1-$F$2)*(1-$F48))* (($G48*$G$2)+(1-$G$2)*(1-$G48)))*$M48</f>
        <v>0</v>
      </c>
      <c r="I48" s="6" t="n">
        <f aca="false">PRODUCT(IF(B48=1,0.6,1-0.6), IF(A48=1,0.6,1-0.6),
        IF(C48=1,0.6,1-0.6),
        IF(D48=1,0.6,1-0.6),
        IF(E48=1,0.6,1-0.6),
        IF(F48=1,0.6,1-0.6),
        IF(G48=1,0.6,1-0.6)) * M48</f>
        <v>0</v>
      </c>
      <c r="J48" s="6" t="n">
        <f aca="false">PRODUCT(IF(B48=1,0.7,1-0.7), IF(A48=1,0.7,1-0.7),
          IF(C48=1,0.7,1-0.7),
          IF(D48=1,0.7,1-0.7),
          IF(E48=1,0.7,1-0.7),
          IF(F48=1,0.7,1-0.7),
          IF(G48=1,0.7,1-0.7)) * M48</f>
        <v>0</v>
      </c>
      <c r="K48" s="6" t="n">
        <f aca="false">PRODUCT(IF(B48=1,0.8,1-0.8),IF(A48=1,0.8,1-0.8),
          IF(C48=1,0.8,1-0.8),
          IF(D48=1,0.8,1-0.8),
          IF(E48=1,0.8,1-0.8),
          IF(F48=1,0.8,1-0.8),
          IF(G48=1,0.8,1-0.8)) * M48</f>
        <v>0</v>
      </c>
      <c r="L48" s="6" t="n">
        <f aca="false">PRODUCT(IF(B48=1,0.9,1-0.9), IF(A48=1,0.9,1-0.9),
          IF(C48=1,0.9,1-0.9),
          IF(D48=1,0.9,1-0.9),
          IF(E48=1,0.9,1-0.9),
          IF(F48=1,0.9,1-0.9),
          IF(G48=1,0.9,1-0.9)) * M48</f>
        <v>0</v>
      </c>
      <c r="M48" s="2" t="n">
        <f aca="false">IF(C48=1,1,IF(AND(B48=1,A48=1,G48=1,D48=1),1,IF(AND(B48=1,A48=1,F48=1,D48=1,E48=1)
,1,0)))</f>
        <v>0</v>
      </c>
    </row>
    <row r="49" customFormat="false" ht="14.25" hidden="false" customHeight="false" outlineLevel="0" collapsed="false">
      <c r="A49" s="2" t="n">
        <v>0</v>
      </c>
      <c r="B49" s="2" t="n">
        <v>1</v>
      </c>
      <c r="C49" s="2" t="n">
        <v>0</v>
      </c>
      <c r="D49" s="2" t="n">
        <v>1</v>
      </c>
      <c r="E49" s="2" t="n">
        <v>1</v>
      </c>
      <c r="F49" s="2" t="n">
        <v>0</v>
      </c>
      <c r="G49" s="2" t="n">
        <v>1</v>
      </c>
      <c r="H49" s="1" t="n">
        <f aca="false"> ((($A49*$A$2)+(1-$A$2)*(1-$A49))* (($B49*$B$2)+(1-$B$2)*(1-$B49)) *(($C49*$C$2)+(1-
$C$2)*(1-$C49))* (($D49*$D$2)+(1-$D$2)*(1-$D49))* (($E49*$E$2)+(1-$E$2)*(1-$E49))*
(($F49*$F$2)+(1-$F$2)*(1-$F49))* (($G49*$G$2)+(1-$G$2)*(1-$G49)))*$M49</f>
        <v>0</v>
      </c>
      <c r="I49" s="6" t="n">
        <f aca="false">PRODUCT(IF(B49=1,0.6,1-0.6), IF(A49=1,0.6,1-0.6),
        IF(C49=1,0.6,1-0.6),
        IF(D49=1,0.6,1-0.6),
        IF(E49=1,0.6,1-0.6),
        IF(F49=1,0.6,1-0.6),
        IF(G49=1,0.6,1-0.6)) * M49</f>
        <v>0</v>
      </c>
      <c r="J49" s="6" t="n">
        <f aca="false">PRODUCT(IF(B49=1,0.7,1-0.7), IF(A49=1,0.7,1-0.7),
          IF(C49=1,0.7,1-0.7),
          IF(D49=1,0.7,1-0.7),
          IF(E49=1,0.7,1-0.7),
          IF(F49=1,0.7,1-0.7),
          IF(G49=1,0.7,1-0.7)) * M49</f>
        <v>0</v>
      </c>
      <c r="K49" s="6" t="n">
        <f aca="false">PRODUCT(IF(B49=1,0.8,1-0.8),IF(A49=1,0.8,1-0.8),
          IF(C49=1,0.8,1-0.8),
          IF(D49=1,0.8,1-0.8),
          IF(E49=1,0.8,1-0.8),
          IF(F49=1,0.8,1-0.8),
          IF(G49=1,0.8,1-0.8)) * M49</f>
        <v>0</v>
      </c>
      <c r="L49" s="6" t="n">
        <f aca="false">PRODUCT(IF(B49=1,0.9,1-0.9), IF(A49=1,0.9,1-0.9),
          IF(C49=1,0.9,1-0.9),
          IF(D49=1,0.9,1-0.9),
          IF(E49=1,0.9,1-0.9),
          IF(F49=1,0.9,1-0.9),
          IF(G49=1,0.9,1-0.9)) * M49</f>
        <v>0</v>
      </c>
      <c r="M49" s="2" t="n">
        <f aca="false">IF(C49=1,1,IF(AND(B49=1,A49=1,G49=1,D49=1),1,IF(AND(B49=1,A49=1,F49=1,D49=1,E49=1)
,1,0)))</f>
        <v>0</v>
      </c>
    </row>
    <row r="50" customFormat="false" ht="14.25" hidden="false" customHeight="false" outlineLevel="0" collapsed="false">
      <c r="A50" s="2" t="n">
        <v>0</v>
      </c>
      <c r="B50" s="2" t="n">
        <v>1</v>
      </c>
      <c r="C50" s="2" t="n">
        <v>0</v>
      </c>
      <c r="D50" s="2" t="n">
        <v>1</v>
      </c>
      <c r="E50" s="2" t="n">
        <v>1</v>
      </c>
      <c r="F50" s="2" t="n">
        <v>1</v>
      </c>
      <c r="G50" s="2" t="n">
        <v>0</v>
      </c>
      <c r="H50" s="1" t="n">
        <f aca="false"> ((($A50*$A$2)+(1-$A$2)*(1-$A50))* (($B50*$B$2)+(1-$B$2)*(1-$B50)) *(($C50*$C$2)+(1-
$C$2)*(1-$C50))* (($D50*$D$2)+(1-$D$2)*(1-$D50))* (($E50*$E$2)+(1-$E$2)*(1-$E50))*
(($F50*$F$2)+(1-$F$2)*(1-$F50))* (($G50*$G$2)+(1-$G$2)*(1-$G50)))*$M50</f>
        <v>0</v>
      </c>
      <c r="I50" s="6" t="n">
        <f aca="false">PRODUCT(IF(B50=1,0.6,1-0.6), IF(A50=1,0.6,1-0.6),
        IF(C50=1,0.6,1-0.6),
        IF(D50=1,0.6,1-0.6),
        IF(E50=1,0.6,1-0.6),
        IF(F50=1,0.6,1-0.6),
        IF(G50=1,0.6,1-0.6)) * M50</f>
        <v>0</v>
      </c>
      <c r="J50" s="6" t="n">
        <f aca="false">PRODUCT(IF(B50=1,0.7,1-0.7), IF(A50=1,0.7,1-0.7),
          IF(C50=1,0.7,1-0.7),
          IF(D50=1,0.7,1-0.7),
          IF(E50=1,0.7,1-0.7),
          IF(F50=1,0.7,1-0.7),
          IF(G50=1,0.7,1-0.7)) * M50</f>
        <v>0</v>
      </c>
      <c r="K50" s="6" t="n">
        <f aca="false">PRODUCT(IF(B50=1,0.8,1-0.8),IF(A50=1,0.8,1-0.8),
          IF(C50=1,0.8,1-0.8),
          IF(D50=1,0.8,1-0.8),
          IF(E50=1,0.8,1-0.8),
          IF(F50=1,0.8,1-0.8),
          IF(G50=1,0.8,1-0.8)) * M50</f>
        <v>0</v>
      </c>
      <c r="L50" s="6" t="n">
        <f aca="false">PRODUCT(IF(B50=1,0.9,1-0.9), IF(A50=1,0.9,1-0.9),
          IF(C50=1,0.9,1-0.9),
          IF(D50=1,0.9,1-0.9),
          IF(E50=1,0.9,1-0.9),
          IF(F50=1,0.9,1-0.9),
          IF(G50=1,0.9,1-0.9)) * M50</f>
        <v>0</v>
      </c>
      <c r="M50" s="2" t="n">
        <f aca="false">IF(C50=1,1,IF(AND(B50=1,A50=1,G50=1,D50=1),1,IF(AND(B50=1,A50=1,F50=1,D50=1,E50=1)
,1,0)))</f>
        <v>0</v>
      </c>
    </row>
    <row r="51" customFormat="false" ht="14.25" hidden="false" customHeight="false" outlineLevel="0" collapsed="false">
      <c r="A51" s="2" t="n">
        <v>0</v>
      </c>
      <c r="B51" s="2" t="n">
        <v>1</v>
      </c>
      <c r="C51" s="2" t="n">
        <v>0</v>
      </c>
      <c r="D51" s="2" t="n">
        <v>1</v>
      </c>
      <c r="E51" s="2" t="n">
        <v>1</v>
      </c>
      <c r="F51" s="2" t="n">
        <v>1</v>
      </c>
      <c r="G51" s="2" t="n">
        <v>1</v>
      </c>
      <c r="H51" s="1" t="n">
        <f aca="false"> ((($A51*$A$2)+(1-$A$2)*(1-$A51))* (($B51*$B$2)+(1-$B$2)*(1-$B51)) *(($C51*$C$2)+(1-
$C$2)*(1-$C51))* (($D51*$D$2)+(1-$D$2)*(1-$D51))* (($E51*$E$2)+(1-$E$2)*(1-$E51))*
(($F51*$F$2)+(1-$F$2)*(1-$F51))* (($G51*$G$2)+(1-$G$2)*(1-$G51)))*$M51</f>
        <v>0</v>
      </c>
      <c r="I51" s="6" t="n">
        <f aca="false">PRODUCT(IF(B51=1,0.6,1-0.6), IF(A51=1,0.6,1-0.6),
        IF(C51=1,0.6,1-0.6),
        IF(D51=1,0.6,1-0.6),
        IF(E51=1,0.6,1-0.6),
        IF(F51=1,0.6,1-0.6),
        IF(G51=1,0.6,1-0.6)) * M51</f>
        <v>0</v>
      </c>
      <c r="J51" s="6" t="n">
        <f aca="false">PRODUCT(IF(B51=1,0.7,1-0.7), IF(A51=1,0.7,1-0.7),
          IF(C51=1,0.7,1-0.7),
          IF(D51=1,0.7,1-0.7),
          IF(E51=1,0.7,1-0.7),
          IF(F51=1,0.7,1-0.7),
          IF(G51=1,0.7,1-0.7)) * M51</f>
        <v>0</v>
      </c>
      <c r="K51" s="6" t="n">
        <f aca="false">PRODUCT(IF(B51=1,0.8,1-0.8),IF(A51=1,0.8,1-0.8),
          IF(C51=1,0.8,1-0.8),
          IF(D51=1,0.8,1-0.8),
          IF(E51=1,0.8,1-0.8),
          IF(F51=1,0.8,1-0.8),
          IF(G51=1,0.8,1-0.8)) * M51</f>
        <v>0</v>
      </c>
      <c r="L51" s="6" t="n">
        <f aca="false">PRODUCT(IF(B51=1,0.9,1-0.9), IF(A51=1,0.9,1-0.9),
          IF(C51=1,0.9,1-0.9),
          IF(D51=1,0.9,1-0.9),
          IF(E51=1,0.9,1-0.9),
          IF(F51=1,0.9,1-0.9),
          IF(G51=1,0.9,1-0.9)) * M51</f>
        <v>0</v>
      </c>
      <c r="M51" s="2" t="n">
        <f aca="false">IF(C51=1,1,IF(AND(B51=1,A51=1,G51=1,D51=1),1,IF(AND(B51=1,A51=1,F51=1,D51=1,E51=1)
,1,0)))</f>
        <v>0</v>
      </c>
    </row>
    <row r="52" customFormat="false" ht="14.25" hidden="false" customHeight="false" outlineLevel="0" collapsed="false">
      <c r="A52" s="2" t="n">
        <v>0</v>
      </c>
      <c r="B52" s="2" t="n">
        <v>1</v>
      </c>
      <c r="C52" s="2" t="n">
        <v>1</v>
      </c>
      <c r="D52" s="2" t="n">
        <v>0</v>
      </c>
      <c r="E52" s="2" t="n">
        <v>0</v>
      </c>
      <c r="F52" s="2" t="n">
        <v>0</v>
      </c>
      <c r="G52" s="2" t="n">
        <v>0</v>
      </c>
      <c r="H52" s="1" t="n">
        <f aca="false"> ((($A52*$A$2)+(1-$A$2)*(1-$A52))* (($B52*$B$2)+(1-$B$2)*(1-$B52)) *(($C52*$C$2)+(1-
$C$2)*(1-$C52))* (($D52*$D$2)+(1-$D$2)*(1-$D52))* (($E52*$E$2)+(1-$E$2)*(1-$E52))*
(($F52*$F$2)+(1-$F$2)*(1-$F52))* (($G52*$G$2)+(1-$G$2)*(1-$G52)))*$M52</f>
        <v>0.0011907</v>
      </c>
      <c r="I52" s="6" t="n">
        <f aca="false">PRODUCT(IF(B52=1,0.6,1-0.6), IF(A52=1,0.6,1-0.6),
        IF(C52=1,0.6,1-0.6),
        IF(D52=1,0.6,1-0.6),
        IF(E52=1,0.6,1-0.6),
        IF(F52=1,0.6,1-0.6),
        IF(G52=1,0.6,1-0.6)) * M52</f>
        <v>0.0036864</v>
      </c>
      <c r="J52" s="6" t="n">
        <f aca="false">PRODUCT(IF(B52=1,0.7,1-0.7), IF(A52=1,0.7,1-0.7),
          IF(C52=1,0.7,1-0.7),
          IF(D52=1,0.7,1-0.7),
          IF(E52=1,0.7,1-0.7),
          IF(F52=1,0.7,1-0.7),
          IF(G52=1,0.7,1-0.7)) * M52</f>
        <v>0.0011907</v>
      </c>
      <c r="K52" s="6" t="n">
        <f aca="false">PRODUCT(IF(B52=1,0.8,1-0.8),IF(A52=1,0.8,1-0.8),
          IF(C52=1,0.8,1-0.8),
          IF(D52=1,0.8,1-0.8),
          IF(E52=1,0.8,1-0.8),
          IF(F52=1,0.8,1-0.8),
          IF(G52=1,0.8,1-0.8)) * M52</f>
        <v>0.0002048</v>
      </c>
      <c r="L52" s="6" t="n">
        <f aca="false">PRODUCT(IF(B52=1,0.9,1-0.9), IF(A52=1,0.9,1-0.9),
          IF(C52=1,0.9,1-0.9),
          IF(D52=1,0.9,1-0.9),
          IF(E52=1,0.9,1-0.9),
          IF(F52=1,0.9,1-0.9),
          IF(G52=1,0.9,1-0.9)) * M52</f>
        <v>8.09999999999999E-006</v>
      </c>
      <c r="M52" s="2" t="n">
        <f aca="false">IF(C52=1,1,IF(AND(B52=1,A52=1,G52=1,D52=1),1,IF(AND(B52=1,A52=1,F52=1,D52=1,E52=1)
,1,0)))</f>
        <v>1</v>
      </c>
    </row>
    <row r="53" customFormat="false" ht="14.25" hidden="false" customHeight="false" outlineLevel="0" collapsed="false">
      <c r="A53" s="2" t="n">
        <v>0</v>
      </c>
      <c r="B53" s="2" t="n">
        <v>1</v>
      </c>
      <c r="C53" s="2" t="n">
        <v>1</v>
      </c>
      <c r="D53" s="2" t="n">
        <v>0</v>
      </c>
      <c r="E53" s="2" t="n">
        <v>0</v>
      </c>
      <c r="F53" s="2" t="n">
        <v>0</v>
      </c>
      <c r="G53" s="2" t="n">
        <v>1</v>
      </c>
      <c r="H53" s="1" t="n">
        <f aca="false"> ((($A53*$A$2)+(1-$A$2)*(1-$A53))* (($B53*$B$2)+(1-$B$2)*(1-$B53)) *(($C53*$C$2)+(1-
$C$2)*(1-$C53))* (($D53*$D$2)+(1-$D$2)*(1-$D53))* (($E53*$E$2)+(1-$E$2)*(1-$E53))*
(($F53*$F$2)+(1-$F$2)*(1-$F53))* (($G53*$G$2)+(1-$G$2)*(1-$G53)))*$M53</f>
        <v>0.0027783</v>
      </c>
      <c r="I53" s="6" t="n">
        <f aca="false">PRODUCT(IF(B53=1,0.6,1-0.6), IF(A53=1,0.6,1-0.6),
        IF(C53=1,0.6,1-0.6),
        IF(D53=1,0.6,1-0.6),
        IF(E53=1,0.6,1-0.6),
        IF(F53=1,0.6,1-0.6),
        IF(G53=1,0.6,1-0.6)) * M53</f>
        <v>0.0055296</v>
      </c>
      <c r="J53" s="6" t="n">
        <f aca="false">PRODUCT(IF(B53=1,0.7,1-0.7), IF(A53=1,0.7,1-0.7),
          IF(C53=1,0.7,1-0.7),
          IF(D53=1,0.7,1-0.7),
          IF(E53=1,0.7,1-0.7),
          IF(F53=1,0.7,1-0.7),
          IF(G53=1,0.7,1-0.7)) * M53</f>
        <v>0.0027783</v>
      </c>
      <c r="K53" s="6" t="n">
        <f aca="false">PRODUCT(IF(B53=1,0.8,1-0.8),IF(A53=1,0.8,1-0.8),
          IF(C53=1,0.8,1-0.8),
          IF(D53=1,0.8,1-0.8),
          IF(E53=1,0.8,1-0.8),
          IF(F53=1,0.8,1-0.8),
          IF(G53=1,0.8,1-0.8)) * M53</f>
        <v>0.000819199999999999</v>
      </c>
      <c r="L53" s="6" t="n">
        <f aca="false">PRODUCT(IF(B53=1,0.9,1-0.9), IF(A53=1,0.9,1-0.9),
          IF(C53=1,0.9,1-0.9),
          IF(D53=1,0.9,1-0.9),
          IF(E53=1,0.9,1-0.9),
          IF(F53=1,0.9,1-0.9),
          IF(G53=1,0.9,1-0.9)) * M53</f>
        <v>7.28999999999999E-005</v>
      </c>
      <c r="M53" s="2" t="n">
        <f aca="false">IF(C53=1,1,IF(AND(B53=1,A53=1,G53=1,D53=1),1,IF(AND(B53=1,A53=1,F53=1,D53=1,E53=1)
,1,0)))</f>
        <v>1</v>
      </c>
    </row>
    <row r="54" customFormat="false" ht="14.25" hidden="false" customHeight="false" outlineLevel="0" collapsed="false">
      <c r="A54" s="2" t="n">
        <v>0</v>
      </c>
      <c r="B54" s="2" t="n">
        <v>1</v>
      </c>
      <c r="C54" s="2" t="n">
        <v>1</v>
      </c>
      <c r="D54" s="2" t="n">
        <v>0</v>
      </c>
      <c r="E54" s="2" t="n">
        <v>0</v>
      </c>
      <c r="F54" s="2" t="n">
        <v>1</v>
      </c>
      <c r="G54" s="2" t="n">
        <v>0</v>
      </c>
      <c r="H54" s="1" t="n">
        <f aca="false"> ((($A54*$A$2)+(1-$A$2)*(1-$A54))* (($B54*$B$2)+(1-$B$2)*(1-$B54)) *(($C54*$C$2)+(1-
$C$2)*(1-$C54))* (($D54*$D$2)+(1-$D$2)*(1-$D54))* (($E54*$E$2)+(1-$E$2)*(1-$E54))*
(($F54*$F$2)+(1-$F$2)*(1-$F54))* (($G54*$G$2)+(1-$G$2)*(1-$G54)))*$M54</f>
        <v>0.0027783</v>
      </c>
      <c r="I54" s="6" t="n">
        <f aca="false">PRODUCT(IF(B54=1,0.6,1-0.6), IF(A54=1,0.6,1-0.6),
        IF(C54=1,0.6,1-0.6),
        IF(D54=1,0.6,1-0.6),
        IF(E54=1,0.6,1-0.6),
        IF(F54=1,0.6,1-0.6),
        IF(G54=1,0.6,1-0.6)) * M54</f>
        <v>0.0055296</v>
      </c>
      <c r="J54" s="6" t="n">
        <f aca="false">PRODUCT(IF(B54=1,0.7,1-0.7), IF(A54=1,0.7,1-0.7),
          IF(C54=1,0.7,1-0.7),
          IF(D54=1,0.7,1-0.7),
          IF(E54=1,0.7,1-0.7),
          IF(F54=1,0.7,1-0.7),
          IF(G54=1,0.7,1-0.7)) * M54</f>
        <v>0.0027783</v>
      </c>
      <c r="K54" s="6" t="n">
        <f aca="false">PRODUCT(IF(B54=1,0.8,1-0.8),IF(A54=1,0.8,1-0.8),
          IF(C54=1,0.8,1-0.8),
          IF(D54=1,0.8,1-0.8),
          IF(E54=1,0.8,1-0.8),
          IF(F54=1,0.8,1-0.8),
          IF(G54=1,0.8,1-0.8)) * M54</f>
        <v>0.000819199999999999</v>
      </c>
      <c r="L54" s="6" t="n">
        <f aca="false">PRODUCT(IF(B54=1,0.9,1-0.9), IF(A54=1,0.9,1-0.9),
          IF(C54=1,0.9,1-0.9),
          IF(D54=1,0.9,1-0.9),
          IF(E54=1,0.9,1-0.9),
          IF(F54=1,0.9,1-0.9),
          IF(G54=1,0.9,1-0.9)) * M54</f>
        <v>7.28999999999999E-005</v>
      </c>
      <c r="M54" s="2" t="n">
        <f aca="false">IF(C54=1,1,IF(AND(B54=1,A54=1,G54=1,D54=1),1,IF(AND(B54=1,A54=1,F54=1,D54=1,E54=1)
,1,0)))</f>
        <v>1</v>
      </c>
    </row>
    <row r="55" customFormat="false" ht="14.25" hidden="false" customHeight="false" outlineLevel="0" collapsed="false">
      <c r="A55" s="2" t="n">
        <v>0</v>
      </c>
      <c r="B55" s="2" t="n">
        <v>1</v>
      </c>
      <c r="C55" s="2" t="n">
        <v>1</v>
      </c>
      <c r="D55" s="2" t="n">
        <v>0</v>
      </c>
      <c r="E55" s="2" t="n">
        <v>0</v>
      </c>
      <c r="F55" s="2" t="n">
        <v>1</v>
      </c>
      <c r="G55" s="2" t="n">
        <v>1</v>
      </c>
      <c r="H55" s="1" t="n">
        <f aca="false"> ((($A55*$A$2)+(1-$A$2)*(1-$A55))* (($B55*$B$2)+(1-$B$2)*(1-$B55)) *(($C55*$C$2)+(1-
$C$2)*(1-$C55))* (($D55*$D$2)+(1-$D$2)*(1-$D55))* (($E55*$E$2)+(1-$E$2)*(1-$E55))*
(($F55*$F$2)+(1-$F$2)*(1-$F55))* (($G55*$G$2)+(1-$G$2)*(1-$G55)))*$M55</f>
        <v>0.0064827</v>
      </c>
      <c r="I55" s="6" t="n">
        <f aca="false">PRODUCT(IF(B55=1,0.6,1-0.6), IF(A55=1,0.6,1-0.6),
        IF(C55=1,0.6,1-0.6),
        IF(D55=1,0.6,1-0.6),
        IF(E55=1,0.6,1-0.6),
        IF(F55=1,0.6,1-0.6),
        IF(G55=1,0.6,1-0.6)) * M55</f>
        <v>0.0082944</v>
      </c>
      <c r="J55" s="6" t="n">
        <f aca="false">PRODUCT(IF(B55=1,0.7,1-0.7), IF(A55=1,0.7,1-0.7),
          IF(C55=1,0.7,1-0.7),
          IF(D55=1,0.7,1-0.7),
          IF(E55=1,0.7,1-0.7),
          IF(F55=1,0.7,1-0.7),
          IF(G55=1,0.7,1-0.7)) * M55</f>
        <v>0.0064827</v>
      </c>
      <c r="K55" s="6" t="n">
        <f aca="false">PRODUCT(IF(B55=1,0.8,1-0.8),IF(A55=1,0.8,1-0.8),
          IF(C55=1,0.8,1-0.8),
          IF(D55=1,0.8,1-0.8),
          IF(E55=1,0.8,1-0.8),
          IF(F55=1,0.8,1-0.8),
          IF(G55=1,0.8,1-0.8)) * M55</f>
        <v>0.0032768</v>
      </c>
      <c r="L55" s="6" t="n">
        <f aca="false">PRODUCT(IF(B55=1,0.9,1-0.9), IF(A55=1,0.9,1-0.9),
          IF(C55=1,0.9,1-0.9),
          IF(D55=1,0.9,1-0.9),
          IF(E55=1,0.9,1-0.9),
          IF(F55=1,0.9,1-0.9),
          IF(G55=1,0.9,1-0.9)) * M55</f>
        <v>0.0006561</v>
      </c>
      <c r="M55" s="2" t="n">
        <f aca="false">IF(C55=1,1,IF(AND(B55=1,A55=1,G55=1,D55=1),1,IF(AND(B55=1,A55=1,F55=1,D55=1,E55=1)
,1,0)))</f>
        <v>1</v>
      </c>
    </row>
    <row r="56" customFormat="false" ht="14.25" hidden="false" customHeight="false" outlineLevel="0" collapsed="false">
      <c r="A56" s="2" t="n">
        <v>0</v>
      </c>
      <c r="B56" s="2" t="n">
        <v>1</v>
      </c>
      <c r="C56" s="2" t="n">
        <v>1</v>
      </c>
      <c r="D56" s="2" t="n">
        <v>0</v>
      </c>
      <c r="E56" s="2" t="n">
        <v>1</v>
      </c>
      <c r="F56" s="2" t="n">
        <v>0</v>
      </c>
      <c r="G56" s="2" t="n">
        <v>0</v>
      </c>
      <c r="H56" s="1" t="n">
        <f aca="false"> ((($A56*$A$2)+(1-$A$2)*(1-$A56))* (($B56*$B$2)+(1-$B$2)*(1-$B56)) *(($C56*$C$2)+(1-
$C$2)*(1-$C56))* (($D56*$D$2)+(1-$D$2)*(1-$D56))* (($E56*$E$2)+(1-$E$2)*(1-$E56))*
(($F56*$F$2)+(1-$F$2)*(1-$F56))* (($G56*$G$2)+(1-$G$2)*(1-$G56)))*$M56</f>
        <v>0.0027783</v>
      </c>
      <c r="I56" s="6" t="n">
        <f aca="false">PRODUCT(IF(B56=1,0.6,1-0.6), IF(A56=1,0.6,1-0.6),
        IF(C56=1,0.6,1-0.6),
        IF(D56=1,0.6,1-0.6),
        IF(E56=1,0.6,1-0.6),
        IF(F56=1,0.6,1-0.6),
        IF(G56=1,0.6,1-0.6)) * M56</f>
        <v>0.0055296</v>
      </c>
      <c r="J56" s="6" t="n">
        <f aca="false">PRODUCT(IF(B56=1,0.7,1-0.7), IF(A56=1,0.7,1-0.7),
          IF(C56=1,0.7,1-0.7),
          IF(D56=1,0.7,1-0.7),
          IF(E56=1,0.7,1-0.7),
          IF(F56=1,0.7,1-0.7),
          IF(G56=1,0.7,1-0.7)) * M56</f>
        <v>0.0027783</v>
      </c>
      <c r="K56" s="6" t="n">
        <f aca="false">PRODUCT(IF(B56=1,0.8,1-0.8),IF(A56=1,0.8,1-0.8),
          IF(C56=1,0.8,1-0.8),
          IF(D56=1,0.8,1-0.8),
          IF(E56=1,0.8,1-0.8),
          IF(F56=1,0.8,1-0.8),
          IF(G56=1,0.8,1-0.8)) * M56</f>
        <v>0.000819199999999999</v>
      </c>
      <c r="L56" s="6" t="n">
        <f aca="false">PRODUCT(IF(B56=1,0.9,1-0.9), IF(A56=1,0.9,1-0.9),
          IF(C56=1,0.9,1-0.9),
          IF(D56=1,0.9,1-0.9),
          IF(E56=1,0.9,1-0.9),
          IF(F56=1,0.9,1-0.9),
          IF(G56=1,0.9,1-0.9)) * M56</f>
        <v>7.28999999999999E-005</v>
      </c>
      <c r="M56" s="2" t="n">
        <f aca="false">IF(C56=1,1,IF(AND(B56=1,A56=1,G56=1,D56=1),1,IF(AND(B56=1,A56=1,F56=1,D56=1,E56=1)
,1,0)))</f>
        <v>1</v>
      </c>
    </row>
    <row r="57" customFormat="false" ht="14.25" hidden="false" customHeight="false" outlineLevel="0" collapsed="false">
      <c r="A57" s="2" t="n">
        <v>0</v>
      </c>
      <c r="B57" s="2" t="n">
        <v>1</v>
      </c>
      <c r="C57" s="2" t="n">
        <v>1</v>
      </c>
      <c r="D57" s="2" t="n">
        <v>0</v>
      </c>
      <c r="E57" s="2" t="n">
        <v>1</v>
      </c>
      <c r="F57" s="2" t="n">
        <v>0</v>
      </c>
      <c r="G57" s="2" t="n">
        <v>1</v>
      </c>
      <c r="H57" s="1" t="n">
        <f aca="false"> ((($A57*$A$2)+(1-$A$2)*(1-$A57))* (($B57*$B$2)+(1-$B$2)*(1-$B57)) *(($C57*$C$2)+(1-
$C$2)*(1-$C57))* (($D57*$D$2)+(1-$D$2)*(1-$D57))* (($E57*$E$2)+(1-$E$2)*(1-$E57))*
(($F57*$F$2)+(1-$F$2)*(1-$F57))* (($G57*$G$2)+(1-$G$2)*(1-$G57)))*$M57</f>
        <v>0.0064827</v>
      </c>
      <c r="I57" s="6" t="n">
        <f aca="false">PRODUCT(IF(B57=1,0.6,1-0.6), IF(A57=1,0.6,1-0.6),
        IF(C57=1,0.6,1-0.6),
        IF(D57=1,0.6,1-0.6),
        IF(E57=1,0.6,1-0.6),
        IF(F57=1,0.6,1-0.6),
        IF(G57=1,0.6,1-0.6)) * M57</f>
        <v>0.0082944</v>
      </c>
      <c r="J57" s="6" t="n">
        <f aca="false">PRODUCT(IF(B57=1,0.7,1-0.7), IF(A57=1,0.7,1-0.7),
          IF(C57=1,0.7,1-0.7),
          IF(D57=1,0.7,1-0.7),
          IF(E57=1,0.7,1-0.7),
          IF(F57=1,0.7,1-0.7),
          IF(G57=1,0.7,1-0.7)) * M57</f>
        <v>0.0064827</v>
      </c>
      <c r="K57" s="6" t="n">
        <f aca="false">PRODUCT(IF(B57=1,0.8,1-0.8),IF(A57=1,0.8,1-0.8),
          IF(C57=1,0.8,1-0.8),
          IF(D57=1,0.8,1-0.8),
          IF(E57=1,0.8,1-0.8),
          IF(F57=1,0.8,1-0.8),
          IF(G57=1,0.8,1-0.8)) * M57</f>
        <v>0.0032768</v>
      </c>
      <c r="L57" s="6" t="n">
        <f aca="false">PRODUCT(IF(B57=1,0.9,1-0.9), IF(A57=1,0.9,1-0.9),
          IF(C57=1,0.9,1-0.9),
          IF(D57=1,0.9,1-0.9),
          IF(E57=1,0.9,1-0.9),
          IF(F57=1,0.9,1-0.9),
          IF(G57=1,0.9,1-0.9)) * M57</f>
        <v>0.0006561</v>
      </c>
      <c r="M57" s="2" t="n">
        <f aca="false">IF(C57=1,1,IF(AND(B57=1,A57=1,G57=1,D57=1),1,IF(AND(B57=1,A57=1,F57=1,D57=1,E57=1)
,1,0)))</f>
        <v>1</v>
      </c>
    </row>
    <row r="58" customFormat="false" ht="14.25" hidden="false" customHeight="false" outlineLevel="0" collapsed="false">
      <c r="A58" s="2" t="n">
        <v>0</v>
      </c>
      <c r="B58" s="2" t="n">
        <v>1</v>
      </c>
      <c r="C58" s="2" t="n">
        <v>1</v>
      </c>
      <c r="D58" s="2" t="n">
        <v>0</v>
      </c>
      <c r="E58" s="2" t="n">
        <v>1</v>
      </c>
      <c r="F58" s="2" t="n">
        <v>1</v>
      </c>
      <c r="G58" s="2" t="n">
        <v>0</v>
      </c>
      <c r="H58" s="1" t="n">
        <f aca="false"> ((($A58*$A$2)+(1-$A$2)*(1-$A58))* (($B58*$B$2)+(1-$B$2)*(1-$B58)) *(($C58*$C$2)+(1-
$C$2)*(1-$C58))* (($D58*$D$2)+(1-$D$2)*(1-$D58))* (($E58*$E$2)+(1-$E$2)*(1-$E58))*
(($F58*$F$2)+(1-$F$2)*(1-$F58))* (($G58*$G$2)+(1-$G$2)*(1-$G58)))*$M58</f>
        <v>0.0064827</v>
      </c>
      <c r="I58" s="6" t="n">
        <f aca="false">PRODUCT(IF(B58=1,0.6,1-0.6), IF(A58=1,0.6,1-0.6),
        IF(C58=1,0.6,1-0.6),
        IF(D58=1,0.6,1-0.6),
        IF(E58=1,0.6,1-0.6),
        IF(F58=1,0.6,1-0.6),
        IF(G58=1,0.6,1-0.6)) * M58</f>
        <v>0.0082944</v>
      </c>
      <c r="J58" s="6" t="n">
        <f aca="false">PRODUCT(IF(B58=1,0.7,1-0.7), IF(A58=1,0.7,1-0.7),
          IF(C58=1,0.7,1-0.7),
          IF(D58=1,0.7,1-0.7),
          IF(E58=1,0.7,1-0.7),
          IF(F58=1,0.7,1-0.7),
          IF(G58=1,0.7,1-0.7)) * M58</f>
        <v>0.0064827</v>
      </c>
      <c r="K58" s="6" t="n">
        <f aca="false">PRODUCT(IF(B58=1,0.8,1-0.8),IF(A58=1,0.8,1-0.8),
          IF(C58=1,0.8,1-0.8),
          IF(D58=1,0.8,1-0.8),
          IF(E58=1,0.8,1-0.8),
          IF(F58=1,0.8,1-0.8),
          IF(G58=1,0.8,1-0.8)) * M58</f>
        <v>0.0032768</v>
      </c>
      <c r="L58" s="6" t="n">
        <f aca="false">PRODUCT(IF(B58=1,0.9,1-0.9), IF(A58=1,0.9,1-0.9),
          IF(C58=1,0.9,1-0.9),
          IF(D58=1,0.9,1-0.9),
          IF(E58=1,0.9,1-0.9),
          IF(F58=1,0.9,1-0.9),
          IF(G58=1,0.9,1-0.9)) * M58</f>
        <v>0.0006561</v>
      </c>
      <c r="M58" s="2" t="n">
        <f aca="false">IF(C58=1,1,IF(AND(B58=1,A58=1,G58=1,D58=1),1,IF(AND(B58=1,A58=1,F58=1,D58=1,E58=1)
,1,0)))</f>
        <v>1</v>
      </c>
    </row>
    <row r="59" customFormat="false" ht="14.25" hidden="false" customHeight="false" outlineLevel="0" collapsed="false">
      <c r="A59" s="2" t="n">
        <v>0</v>
      </c>
      <c r="B59" s="2" t="n">
        <v>1</v>
      </c>
      <c r="C59" s="2" t="n">
        <v>1</v>
      </c>
      <c r="D59" s="2" t="n">
        <v>0</v>
      </c>
      <c r="E59" s="2" t="n">
        <v>1</v>
      </c>
      <c r="F59" s="2" t="n">
        <v>1</v>
      </c>
      <c r="G59" s="2" t="n">
        <v>1</v>
      </c>
      <c r="H59" s="1" t="n">
        <f aca="false"> ((($A59*$A$2)+(1-$A$2)*(1-$A59))* (($B59*$B$2)+(1-$B$2)*(1-$B59)) *(($C59*$C$2)+(1-
$C$2)*(1-$C59))* (($D59*$D$2)+(1-$D$2)*(1-$D59))* (($E59*$E$2)+(1-$E$2)*(1-$E59))*
(($F59*$F$2)+(1-$F$2)*(1-$F59))* (($G59*$G$2)+(1-$G$2)*(1-$G59)))*$M59</f>
        <v>0.0151263</v>
      </c>
      <c r="I59" s="6" t="n">
        <f aca="false">PRODUCT(IF(B59=1,0.6,1-0.6), IF(A59=1,0.6,1-0.6),
        IF(C59=1,0.6,1-0.6),
        IF(D59=1,0.6,1-0.6),
        IF(E59=1,0.6,1-0.6),
        IF(F59=1,0.6,1-0.6),
        IF(G59=1,0.6,1-0.6)) * M59</f>
        <v>0.0124416</v>
      </c>
      <c r="J59" s="6" t="n">
        <f aca="false">PRODUCT(IF(B59=1,0.7,1-0.7), IF(A59=1,0.7,1-0.7),
          IF(C59=1,0.7,1-0.7),
          IF(D59=1,0.7,1-0.7),
          IF(E59=1,0.7,1-0.7),
          IF(F59=1,0.7,1-0.7),
          IF(G59=1,0.7,1-0.7)) * M59</f>
        <v>0.0151263</v>
      </c>
      <c r="K59" s="6" t="n">
        <f aca="false">PRODUCT(IF(B59=1,0.8,1-0.8),IF(A59=1,0.8,1-0.8),
          IF(C59=1,0.8,1-0.8),
          IF(D59=1,0.8,1-0.8),
          IF(E59=1,0.8,1-0.8),
          IF(F59=1,0.8,1-0.8),
          IF(G59=1,0.8,1-0.8)) * M59</f>
        <v>0.0131072</v>
      </c>
      <c r="L59" s="6" t="n">
        <f aca="false">PRODUCT(IF(B59=1,0.9,1-0.9), IF(A59=1,0.9,1-0.9),
          IF(C59=1,0.9,1-0.9),
          IF(D59=1,0.9,1-0.9),
          IF(E59=1,0.9,1-0.9),
          IF(F59=1,0.9,1-0.9),
          IF(G59=1,0.9,1-0.9)) * M59</f>
        <v>0.0059049</v>
      </c>
      <c r="M59" s="2" t="n">
        <f aca="false">IF(C59=1,1,IF(AND(B59=1,A59=1,G59=1,D59=1),1,IF(AND(B59=1,A59=1,F59=1,D59=1,E59=1)
,1,0)))</f>
        <v>1</v>
      </c>
    </row>
    <row r="60" customFormat="false" ht="14.25" hidden="false" customHeight="false" outlineLevel="0" collapsed="false">
      <c r="A60" s="2" t="n">
        <v>0</v>
      </c>
      <c r="B60" s="2" t="n">
        <v>1</v>
      </c>
      <c r="C60" s="2" t="n">
        <v>1</v>
      </c>
      <c r="D60" s="2" t="n">
        <v>1</v>
      </c>
      <c r="E60" s="2" t="n">
        <v>0</v>
      </c>
      <c r="F60" s="2" t="n">
        <v>0</v>
      </c>
      <c r="G60" s="2" t="n">
        <v>0</v>
      </c>
      <c r="H60" s="1" t="n">
        <f aca="false"> ((($A60*$A$2)+(1-$A$2)*(1-$A60))* (($B60*$B$2)+(1-$B$2)*(1-$B60)) *(($C60*$C$2)+(1-
$C$2)*(1-$C60))* (($D60*$D$2)+(1-$D$2)*(1-$D60))* (($E60*$E$2)+(1-$E$2)*(1-$E60))*
(($F60*$F$2)+(1-$F$2)*(1-$F60))* (($G60*$G$2)+(1-$G$2)*(1-$G60)))*$M60</f>
        <v>0.0027783</v>
      </c>
      <c r="I60" s="6" t="n">
        <f aca="false">PRODUCT(IF(B60=1,0.6,1-0.6), IF(A60=1,0.6,1-0.6),
        IF(C60=1,0.6,1-0.6),
        IF(D60=1,0.6,1-0.6),
        IF(E60=1,0.6,1-0.6),
        IF(F60=1,0.6,1-0.6),
        IF(G60=1,0.6,1-0.6)) * M60</f>
        <v>0.0055296</v>
      </c>
      <c r="J60" s="6" t="n">
        <f aca="false">PRODUCT(IF(B60=1,0.7,1-0.7), IF(A60=1,0.7,1-0.7),
          IF(C60=1,0.7,1-0.7),
          IF(D60=1,0.7,1-0.7),
          IF(E60=1,0.7,1-0.7),
          IF(F60=1,0.7,1-0.7),
          IF(G60=1,0.7,1-0.7)) * M60</f>
        <v>0.0027783</v>
      </c>
      <c r="K60" s="6" t="n">
        <f aca="false">PRODUCT(IF(B60=1,0.8,1-0.8),IF(A60=1,0.8,1-0.8),
          IF(C60=1,0.8,1-0.8),
          IF(D60=1,0.8,1-0.8),
          IF(E60=1,0.8,1-0.8),
          IF(F60=1,0.8,1-0.8),
          IF(G60=1,0.8,1-0.8)) * M60</f>
        <v>0.000819199999999999</v>
      </c>
      <c r="L60" s="6" t="n">
        <f aca="false">PRODUCT(IF(B60=1,0.9,1-0.9), IF(A60=1,0.9,1-0.9),
          IF(C60=1,0.9,1-0.9),
          IF(D60=1,0.9,1-0.9),
          IF(E60=1,0.9,1-0.9),
          IF(F60=1,0.9,1-0.9),
          IF(G60=1,0.9,1-0.9)) * M60</f>
        <v>7.28999999999999E-005</v>
      </c>
      <c r="M60" s="2" t="n">
        <f aca="false">IF(C60=1,1,IF(AND(B60=1,A60=1,G60=1,D60=1),1,IF(AND(B60=1,A60=1,F60=1,D60=1,E60=1)
,1,0)))</f>
        <v>1</v>
      </c>
    </row>
    <row r="61" customFormat="false" ht="14.25" hidden="false" customHeight="false" outlineLevel="0" collapsed="false">
      <c r="A61" s="2" t="n">
        <v>0</v>
      </c>
      <c r="B61" s="2" t="n">
        <v>1</v>
      </c>
      <c r="C61" s="2" t="n">
        <v>1</v>
      </c>
      <c r="D61" s="2" t="n">
        <v>1</v>
      </c>
      <c r="E61" s="2" t="n">
        <v>0</v>
      </c>
      <c r="F61" s="2" t="n">
        <v>0</v>
      </c>
      <c r="G61" s="2" t="n">
        <v>1</v>
      </c>
      <c r="H61" s="1" t="n">
        <f aca="false"> ((($A61*$A$2)+(1-$A$2)*(1-$A61))* (($B61*$B$2)+(1-$B$2)*(1-$B61)) *(($C61*$C$2)+(1-
$C$2)*(1-$C61))* (($D61*$D$2)+(1-$D$2)*(1-$D61))* (($E61*$E$2)+(1-$E$2)*(1-$E61))*
(($F61*$F$2)+(1-$F$2)*(1-$F61))* (($G61*$G$2)+(1-$G$2)*(1-$G61)))*$M61</f>
        <v>0.0064827</v>
      </c>
      <c r="I61" s="6" t="n">
        <f aca="false">PRODUCT(IF(B61=1,0.6,1-0.6), IF(A61=1,0.6,1-0.6),
        IF(C61=1,0.6,1-0.6),
        IF(D61=1,0.6,1-0.6),
        IF(E61=1,0.6,1-0.6),
        IF(F61=1,0.6,1-0.6),
        IF(G61=1,0.6,1-0.6)) * M61</f>
        <v>0.0082944</v>
      </c>
      <c r="J61" s="6" t="n">
        <f aca="false">PRODUCT(IF(B61=1,0.7,1-0.7), IF(A61=1,0.7,1-0.7),
          IF(C61=1,0.7,1-0.7),
          IF(D61=1,0.7,1-0.7),
          IF(E61=1,0.7,1-0.7),
          IF(F61=1,0.7,1-0.7),
          IF(G61=1,0.7,1-0.7)) * M61</f>
        <v>0.0064827</v>
      </c>
      <c r="K61" s="6" t="n">
        <f aca="false">PRODUCT(IF(B61=1,0.8,1-0.8),IF(A61=1,0.8,1-0.8),
          IF(C61=1,0.8,1-0.8),
          IF(D61=1,0.8,1-0.8),
          IF(E61=1,0.8,1-0.8),
          IF(F61=1,0.8,1-0.8),
          IF(G61=1,0.8,1-0.8)) * M61</f>
        <v>0.0032768</v>
      </c>
      <c r="L61" s="6" t="n">
        <f aca="false">PRODUCT(IF(B61=1,0.9,1-0.9), IF(A61=1,0.9,1-0.9),
          IF(C61=1,0.9,1-0.9),
          IF(D61=1,0.9,1-0.9),
          IF(E61=1,0.9,1-0.9),
          IF(F61=1,0.9,1-0.9),
          IF(G61=1,0.9,1-0.9)) * M61</f>
        <v>0.0006561</v>
      </c>
      <c r="M61" s="2" t="n">
        <f aca="false">IF(C61=1,1,IF(AND(B61=1,A61=1,G61=1,D61=1),1,IF(AND(B61=1,A61=1,F61=1,D61=1,E61=1)
,1,0)))</f>
        <v>1</v>
      </c>
    </row>
    <row r="62" customFormat="false" ht="14.25" hidden="false" customHeight="false" outlineLevel="0" collapsed="false">
      <c r="A62" s="2" t="n">
        <v>0</v>
      </c>
      <c r="B62" s="2" t="n">
        <v>1</v>
      </c>
      <c r="C62" s="2" t="n">
        <v>1</v>
      </c>
      <c r="D62" s="2" t="n">
        <v>1</v>
      </c>
      <c r="E62" s="2" t="n">
        <v>0</v>
      </c>
      <c r="F62" s="2" t="n">
        <v>1</v>
      </c>
      <c r="G62" s="2" t="n">
        <v>0</v>
      </c>
      <c r="H62" s="1" t="n">
        <f aca="false"> ((($A62*$A$2)+(1-$A$2)*(1-$A62))* (($B62*$B$2)+(1-$B$2)*(1-$B62)) *(($C62*$C$2)+(1-
$C$2)*(1-$C62))* (($D62*$D$2)+(1-$D$2)*(1-$D62))* (($E62*$E$2)+(1-$E$2)*(1-$E62))*
(($F62*$F$2)+(1-$F$2)*(1-$F62))* (($G62*$G$2)+(1-$G$2)*(1-$G62)))*$M62</f>
        <v>0.0064827</v>
      </c>
      <c r="I62" s="6" t="n">
        <f aca="false">PRODUCT(IF(B62=1,0.6,1-0.6), IF(A62=1,0.6,1-0.6),
        IF(C62=1,0.6,1-0.6),
        IF(D62=1,0.6,1-0.6),
        IF(E62=1,0.6,1-0.6),
        IF(F62=1,0.6,1-0.6),
        IF(G62=1,0.6,1-0.6)) * M62</f>
        <v>0.0082944</v>
      </c>
      <c r="J62" s="6" t="n">
        <f aca="false">PRODUCT(IF(B62=1,0.7,1-0.7), IF(A62=1,0.7,1-0.7),
          IF(C62=1,0.7,1-0.7),
          IF(D62=1,0.7,1-0.7),
          IF(E62=1,0.7,1-0.7),
          IF(F62=1,0.7,1-0.7),
          IF(G62=1,0.7,1-0.7)) * M62</f>
        <v>0.0064827</v>
      </c>
      <c r="K62" s="6" t="n">
        <f aca="false">PRODUCT(IF(B62=1,0.8,1-0.8),IF(A62=1,0.8,1-0.8),
          IF(C62=1,0.8,1-0.8),
          IF(D62=1,0.8,1-0.8),
          IF(E62=1,0.8,1-0.8),
          IF(F62=1,0.8,1-0.8),
          IF(G62=1,0.8,1-0.8)) * M62</f>
        <v>0.0032768</v>
      </c>
      <c r="L62" s="6" t="n">
        <f aca="false">PRODUCT(IF(B62=1,0.9,1-0.9), IF(A62=1,0.9,1-0.9),
          IF(C62=1,0.9,1-0.9),
          IF(D62=1,0.9,1-0.9),
          IF(E62=1,0.9,1-0.9),
          IF(F62=1,0.9,1-0.9),
          IF(G62=1,0.9,1-0.9)) * M62</f>
        <v>0.0006561</v>
      </c>
      <c r="M62" s="2" t="n">
        <f aca="false">IF(C62=1,1,IF(AND(B62=1,A62=1,G62=1,D62=1),1,IF(AND(B62=1,A62=1,F62=1,D62=1,E62=1)
,1,0)))</f>
        <v>1</v>
      </c>
    </row>
    <row r="63" customFormat="false" ht="14.25" hidden="false" customHeight="false" outlineLevel="0" collapsed="false">
      <c r="A63" s="2" t="n">
        <v>0</v>
      </c>
      <c r="B63" s="2" t="n">
        <v>1</v>
      </c>
      <c r="C63" s="2" t="n">
        <v>1</v>
      </c>
      <c r="D63" s="2" t="n">
        <v>1</v>
      </c>
      <c r="E63" s="2" t="n">
        <v>0</v>
      </c>
      <c r="F63" s="2" t="n">
        <v>1</v>
      </c>
      <c r="G63" s="2" t="n">
        <v>1</v>
      </c>
      <c r="H63" s="1" t="n">
        <f aca="false"> ((($A63*$A$2)+(1-$A$2)*(1-$A63))* (($B63*$B$2)+(1-$B$2)*(1-$B63)) *(($C63*$C$2)+(1-
$C$2)*(1-$C63))* (($D63*$D$2)+(1-$D$2)*(1-$D63))* (($E63*$E$2)+(1-$E$2)*(1-$E63))*
(($F63*$F$2)+(1-$F$2)*(1-$F63))* (($G63*$G$2)+(1-$G$2)*(1-$G63)))*$M63</f>
        <v>0.0151263</v>
      </c>
      <c r="I63" s="6" t="n">
        <f aca="false">PRODUCT(IF(B63=1,0.6,1-0.6), IF(A63=1,0.6,1-0.6),
        IF(C63=1,0.6,1-0.6),
        IF(D63=1,0.6,1-0.6),
        IF(E63=1,0.6,1-0.6),
        IF(F63=1,0.6,1-0.6),
        IF(G63=1,0.6,1-0.6)) * M63</f>
        <v>0.0124416</v>
      </c>
      <c r="J63" s="6" t="n">
        <f aca="false">PRODUCT(IF(B63=1,0.7,1-0.7), IF(A63=1,0.7,1-0.7),
          IF(C63=1,0.7,1-0.7),
          IF(D63=1,0.7,1-0.7),
          IF(E63=1,0.7,1-0.7),
          IF(F63=1,0.7,1-0.7),
          IF(G63=1,0.7,1-0.7)) * M63</f>
        <v>0.0151263</v>
      </c>
      <c r="K63" s="6" t="n">
        <f aca="false">PRODUCT(IF(B63=1,0.8,1-0.8),IF(A63=1,0.8,1-0.8),
          IF(C63=1,0.8,1-0.8),
          IF(D63=1,0.8,1-0.8),
          IF(E63=1,0.8,1-0.8),
          IF(F63=1,0.8,1-0.8),
          IF(G63=1,0.8,1-0.8)) * M63</f>
        <v>0.0131072</v>
      </c>
      <c r="L63" s="6" t="n">
        <f aca="false">PRODUCT(IF(B63=1,0.9,1-0.9), IF(A63=1,0.9,1-0.9),
          IF(C63=1,0.9,1-0.9),
          IF(D63=1,0.9,1-0.9),
          IF(E63=1,0.9,1-0.9),
          IF(F63=1,0.9,1-0.9),
          IF(G63=1,0.9,1-0.9)) * M63</f>
        <v>0.0059049</v>
      </c>
      <c r="M63" s="2" t="n">
        <f aca="false">IF(C63=1,1,IF(AND(B63=1,A63=1,G63=1,D63=1),1,IF(AND(B63=1,A63=1,F63=1,D63=1,E63=1)
,1,0)))</f>
        <v>1</v>
      </c>
    </row>
    <row r="64" customFormat="false" ht="14.25" hidden="false" customHeight="false" outlineLevel="0" collapsed="false">
      <c r="A64" s="2" t="n">
        <v>0</v>
      </c>
      <c r="B64" s="2" t="n">
        <v>1</v>
      </c>
      <c r="C64" s="2" t="n">
        <v>1</v>
      </c>
      <c r="D64" s="2" t="n">
        <v>1</v>
      </c>
      <c r="E64" s="2" t="n">
        <v>1</v>
      </c>
      <c r="F64" s="2" t="n">
        <v>0</v>
      </c>
      <c r="G64" s="2" t="n">
        <v>0</v>
      </c>
      <c r="H64" s="1" t="n">
        <f aca="false"> ((($A64*$A$2)+(1-$A$2)*(1-$A64))* (($B64*$B$2)+(1-$B$2)*(1-$B64)) *(($C64*$C$2)+(1-
$C$2)*(1-$C64))* (($D64*$D$2)+(1-$D$2)*(1-$D64))* (($E64*$E$2)+(1-$E$2)*(1-$E64))*
(($F64*$F$2)+(1-$F$2)*(1-$F64))* (($G64*$G$2)+(1-$G$2)*(1-$G64)))*$M64</f>
        <v>0.0064827</v>
      </c>
      <c r="I64" s="6" t="n">
        <f aca="false">PRODUCT(IF(B64=1,0.6,1-0.6), IF(A64=1,0.6,1-0.6),
        IF(C64=1,0.6,1-0.6),
        IF(D64=1,0.6,1-0.6),
        IF(E64=1,0.6,1-0.6),
        IF(F64=1,0.6,1-0.6),
        IF(G64=1,0.6,1-0.6)) * M64</f>
        <v>0.0082944</v>
      </c>
      <c r="J64" s="6" t="n">
        <f aca="false">PRODUCT(IF(B64=1,0.7,1-0.7), IF(A64=1,0.7,1-0.7),
          IF(C64=1,0.7,1-0.7),
          IF(D64=1,0.7,1-0.7),
          IF(E64=1,0.7,1-0.7),
          IF(F64=1,0.7,1-0.7),
          IF(G64=1,0.7,1-0.7)) * M64</f>
        <v>0.0064827</v>
      </c>
      <c r="K64" s="6" t="n">
        <f aca="false">PRODUCT(IF(B64=1,0.8,1-0.8),IF(A64=1,0.8,1-0.8),
          IF(C64=1,0.8,1-0.8),
          IF(D64=1,0.8,1-0.8),
          IF(E64=1,0.8,1-0.8),
          IF(F64=1,0.8,1-0.8),
          IF(G64=1,0.8,1-0.8)) * M64</f>
        <v>0.0032768</v>
      </c>
      <c r="L64" s="6" t="n">
        <f aca="false">PRODUCT(IF(B64=1,0.9,1-0.9), IF(A64=1,0.9,1-0.9),
          IF(C64=1,0.9,1-0.9),
          IF(D64=1,0.9,1-0.9),
          IF(E64=1,0.9,1-0.9),
          IF(F64=1,0.9,1-0.9),
          IF(G64=1,0.9,1-0.9)) * M64</f>
        <v>0.0006561</v>
      </c>
      <c r="M64" s="2" t="n">
        <f aca="false">IF(C64=1,1,IF(AND(B64=1,A64=1,G64=1,D64=1),1,IF(AND(B64=1,A64=1,F64=1,D64=1,E64=1)
,1,0)))</f>
        <v>1</v>
      </c>
    </row>
    <row r="65" customFormat="false" ht="14.25" hidden="false" customHeight="false" outlineLevel="0" collapsed="false">
      <c r="A65" s="2" t="n">
        <v>0</v>
      </c>
      <c r="B65" s="2" t="n">
        <v>1</v>
      </c>
      <c r="C65" s="2" t="n">
        <v>1</v>
      </c>
      <c r="D65" s="2" t="n">
        <v>1</v>
      </c>
      <c r="E65" s="2" t="n">
        <v>1</v>
      </c>
      <c r="F65" s="2" t="n">
        <v>0</v>
      </c>
      <c r="G65" s="2" t="n">
        <v>1</v>
      </c>
      <c r="H65" s="1" t="n">
        <f aca="false"> ((($A65*$A$2)+(1-$A$2)*(1-$A65))* (($B65*$B$2)+(1-$B$2)*(1-$B65)) *(($C65*$C$2)+(1-
$C$2)*(1-$C65))* (($D65*$D$2)+(1-$D$2)*(1-$D65))* (($E65*$E$2)+(1-$E$2)*(1-$E65))*
(($F65*$F$2)+(1-$F$2)*(1-$F65))* (($G65*$G$2)+(1-$G$2)*(1-$G65)))*$M65</f>
        <v>0.0151263</v>
      </c>
      <c r="I65" s="6" t="n">
        <f aca="false">PRODUCT(IF(B65=1,0.6,1-0.6), IF(A65=1,0.6,1-0.6),
        IF(C65=1,0.6,1-0.6),
        IF(D65=1,0.6,1-0.6),
        IF(E65=1,0.6,1-0.6),
        IF(F65=1,0.6,1-0.6),
        IF(G65=1,0.6,1-0.6)) * M65</f>
        <v>0.0124416</v>
      </c>
      <c r="J65" s="6" t="n">
        <f aca="false">PRODUCT(IF(B65=1,0.7,1-0.7), IF(A65=1,0.7,1-0.7),
          IF(C65=1,0.7,1-0.7),
          IF(D65=1,0.7,1-0.7),
          IF(E65=1,0.7,1-0.7),
          IF(F65=1,0.7,1-0.7),
          IF(G65=1,0.7,1-0.7)) * M65</f>
        <v>0.0151263</v>
      </c>
      <c r="K65" s="6" t="n">
        <f aca="false">PRODUCT(IF(B65=1,0.8,1-0.8),IF(A65=1,0.8,1-0.8),
          IF(C65=1,0.8,1-0.8),
          IF(D65=1,0.8,1-0.8),
          IF(E65=1,0.8,1-0.8),
          IF(F65=1,0.8,1-0.8),
          IF(G65=1,0.8,1-0.8)) * M65</f>
        <v>0.0131072</v>
      </c>
      <c r="L65" s="6" t="n">
        <f aca="false">PRODUCT(IF(B65=1,0.9,1-0.9), IF(A65=1,0.9,1-0.9),
          IF(C65=1,0.9,1-0.9),
          IF(D65=1,0.9,1-0.9),
          IF(E65=1,0.9,1-0.9),
          IF(F65=1,0.9,1-0.9),
          IF(G65=1,0.9,1-0.9)) * M65</f>
        <v>0.0059049</v>
      </c>
      <c r="M65" s="2" t="n">
        <f aca="false">IF(C65=1,1,IF(AND(B65=1,A65=1,G65=1,D65=1),1,IF(AND(B65=1,A65=1,F65=1,D65=1,E65=1)
,1,0)))</f>
        <v>1</v>
      </c>
    </row>
    <row r="66" customFormat="false" ht="14.25" hidden="false" customHeight="false" outlineLevel="0" collapsed="false">
      <c r="A66" s="2" t="n">
        <v>0</v>
      </c>
      <c r="B66" s="2" t="n">
        <v>1</v>
      </c>
      <c r="C66" s="2" t="n">
        <v>1</v>
      </c>
      <c r="D66" s="2" t="n">
        <v>1</v>
      </c>
      <c r="E66" s="2" t="n">
        <v>1</v>
      </c>
      <c r="F66" s="2" t="n">
        <v>1</v>
      </c>
      <c r="G66" s="2" t="n">
        <v>0</v>
      </c>
      <c r="H66" s="1" t="n">
        <f aca="false"> ((($A66*$A$2)+(1-$A$2)*(1-$A66))* (($B66*$B$2)+(1-$B$2)*(1-$B66)) *(($C66*$C$2)+(1-
$C$2)*(1-$C66))* (($D66*$D$2)+(1-$D$2)*(1-$D66))* (($E66*$E$2)+(1-$E$2)*(1-$E66))*
(($F66*$F$2)+(1-$F$2)*(1-$F66))* (($G66*$G$2)+(1-$G$2)*(1-$G66)))*$M66</f>
        <v>0.0151263</v>
      </c>
      <c r="I66" s="6" t="n">
        <f aca="false">PRODUCT(IF(B66=1,0.6,1-0.6), IF(A66=1,0.6,1-0.6),
        IF(C66=1,0.6,1-0.6),
        IF(D66=1,0.6,1-0.6),
        IF(E66=1,0.6,1-0.6),
        IF(F66=1,0.6,1-0.6),
        IF(G66=1,0.6,1-0.6)) * M66</f>
        <v>0.0124416</v>
      </c>
      <c r="J66" s="6" t="n">
        <f aca="false">PRODUCT(IF(B66=1,0.7,1-0.7), IF(A66=1,0.7,1-0.7),
          IF(C66=1,0.7,1-0.7),
          IF(D66=1,0.7,1-0.7),
          IF(E66=1,0.7,1-0.7),
          IF(F66=1,0.7,1-0.7),
          IF(G66=1,0.7,1-0.7)) * M66</f>
        <v>0.0151263</v>
      </c>
      <c r="K66" s="6" t="n">
        <f aca="false">PRODUCT(IF(B66=1,0.8,1-0.8),IF(A66=1,0.8,1-0.8),
          IF(C66=1,0.8,1-0.8),
          IF(D66=1,0.8,1-0.8),
          IF(E66=1,0.8,1-0.8),
          IF(F66=1,0.8,1-0.8),
          IF(G66=1,0.8,1-0.8)) * M66</f>
        <v>0.0131072</v>
      </c>
      <c r="L66" s="6" t="n">
        <f aca="false">PRODUCT(IF(B66=1,0.9,1-0.9), IF(A66=1,0.9,1-0.9),
          IF(C66=1,0.9,1-0.9),
          IF(D66=1,0.9,1-0.9),
          IF(E66=1,0.9,1-0.9),
          IF(F66=1,0.9,1-0.9),
          IF(G66=1,0.9,1-0.9)) * M66</f>
        <v>0.0059049</v>
      </c>
      <c r="M66" s="2" t="n">
        <f aca="false">IF(C66=1,1,IF(AND(B66=1,A66=1,G66=1,D66=1),1,IF(AND(B66=1,A66=1,F66=1,D66=1,E66=1)
,1,0)))</f>
        <v>1</v>
      </c>
    </row>
    <row r="67" customFormat="false" ht="14.25" hidden="false" customHeight="false" outlineLevel="0" collapsed="false">
      <c r="A67" s="2" t="n">
        <v>0</v>
      </c>
      <c r="B67" s="2" t="n">
        <v>1</v>
      </c>
      <c r="C67" s="2" t="n">
        <v>1</v>
      </c>
      <c r="D67" s="2" t="n">
        <v>1</v>
      </c>
      <c r="E67" s="2" t="n">
        <v>1</v>
      </c>
      <c r="F67" s="2" t="n">
        <v>1</v>
      </c>
      <c r="G67" s="2" t="n">
        <v>1</v>
      </c>
      <c r="H67" s="1" t="n">
        <f aca="false"> ((($A67*$A$2)+(1-$A$2)*(1-$A67))* (($B67*$B$2)+(1-$B$2)*(1-$B67)) *(($C67*$C$2)+(1-
$C$2)*(1-$C67))* (($D67*$D$2)+(1-$D$2)*(1-$D67))* (($E67*$E$2)+(1-$E$2)*(1-$E67))*
(($F67*$F$2)+(1-$F$2)*(1-$F67))* (($G67*$G$2)+(1-$G$2)*(1-$G67)))*$M67</f>
        <v>0.0352947</v>
      </c>
      <c r="I67" s="6" t="n">
        <f aca="false">PRODUCT(IF(B67=1,0.6,1-0.6), IF(A67=1,0.6,1-0.6),
        IF(C67=1,0.6,1-0.6),
        IF(D67=1,0.6,1-0.6),
        IF(E67=1,0.6,1-0.6),
        IF(F67=1,0.6,1-0.6),
        IF(G67=1,0.6,1-0.6)) * M67</f>
        <v>0.0186624</v>
      </c>
      <c r="J67" s="6" t="n">
        <f aca="false">PRODUCT(IF(B67=1,0.7,1-0.7), IF(A67=1,0.7,1-0.7),
          IF(C67=1,0.7,1-0.7),
          IF(D67=1,0.7,1-0.7),
          IF(E67=1,0.7,1-0.7),
          IF(F67=1,0.7,1-0.7),
          IF(G67=1,0.7,1-0.7)) * M67</f>
        <v>0.0352947</v>
      </c>
      <c r="K67" s="6" t="n">
        <f aca="false">PRODUCT(IF(B67=1,0.8,1-0.8),IF(A67=1,0.8,1-0.8),
          IF(C67=1,0.8,1-0.8),
          IF(D67=1,0.8,1-0.8),
          IF(E67=1,0.8,1-0.8),
          IF(F67=1,0.8,1-0.8),
          IF(G67=1,0.8,1-0.8)) * M67</f>
        <v>0.0524288</v>
      </c>
      <c r="L67" s="6" t="n">
        <f aca="false">PRODUCT(IF(B67=1,0.9,1-0.9), IF(A67=1,0.9,1-0.9),
          IF(C67=1,0.9,1-0.9),
          IF(D67=1,0.9,1-0.9),
          IF(E67=1,0.9,1-0.9),
          IF(F67=1,0.9,1-0.9),
          IF(G67=1,0.9,1-0.9)) * M67</f>
        <v>0.0531441</v>
      </c>
      <c r="M67" s="2" t="n">
        <f aca="false">IF(C67=1,1,IF(AND(B67=1,A67=1,G67=1,D67=1),1,IF(AND(B67=1,A67=1,F67=1,D67=1,E67=1)
,1,0)))</f>
        <v>1</v>
      </c>
    </row>
    <row r="68" customFormat="false" ht="14.25" hidden="false" customHeight="false" outlineLevel="0" collapsed="false">
      <c r="A68" s="2" t="n">
        <v>1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1" t="n">
        <f aca="false"> ((($A68*$A$2)+(1-$A$2)*(1-$A68))* (($B68*$B$2)+(1-$B$2)*(1-$B68)) *(($C68*$C$2)+(1-
$C$2)*(1-$C68))* (($D68*$D$2)+(1-$D$2)*(1-$D68))* (($E68*$E$2)+(1-$E$2)*(1-$E68))*
(($F68*$F$2)+(1-$F$2)*(1-$F68))* (($G68*$G$2)+(1-$G$2)*(1-$G68)))*$M68</f>
        <v>0</v>
      </c>
      <c r="I68" s="6" t="n">
        <f aca="false">PRODUCT(IF(B68=1,0.6,1-0.6), IF(A68=1,0.6,1-0.6),
        IF(C68=1,0.6,1-0.6),
        IF(D68=1,0.6,1-0.6),
        IF(E68=1,0.6,1-0.6),
        IF(F68=1,0.6,1-0.6),
        IF(G68=1,0.6,1-0.6)) * M68</f>
        <v>0</v>
      </c>
      <c r="J68" s="6" t="n">
        <f aca="false">PRODUCT(IF(B68=1,0.7,1-0.7), IF(A68=1,0.7,1-0.7),
          IF(C68=1,0.7,1-0.7),
          IF(D68=1,0.7,1-0.7),
          IF(E68=1,0.7,1-0.7),
          IF(F68=1,0.7,1-0.7),
          IF(G68=1,0.7,1-0.7)) * M68</f>
        <v>0</v>
      </c>
      <c r="K68" s="6" t="n">
        <f aca="false">PRODUCT(IF(B68=1,0.8,1-0.8),IF(A68=1,0.8,1-0.8),
          IF(C68=1,0.8,1-0.8),
          IF(D68=1,0.8,1-0.8),
          IF(E68=1,0.8,1-0.8),
          IF(F68=1,0.8,1-0.8),
          IF(G68=1,0.8,1-0.8)) * M68</f>
        <v>0</v>
      </c>
      <c r="L68" s="6" t="n">
        <f aca="false">PRODUCT(IF(B68=1,0.9,1-0.9), IF(A68=1,0.9,1-0.9),
          IF(C68=1,0.9,1-0.9),
          IF(D68=1,0.9,1-0.9),
          IF(E68=1,0.9,1-0.9),
          IF(F68=1,0.9,1-0.9),
          IF(G68=1,0.9,1-0.9)) * M68</f>
        <v>0</v>
      </c>
      <c r="M68" s="2" t="n">
        <f aca="false">IF(C68=1,1,IF(AND(B68=1,A68=1,G68=1,D68=1),1,IF(AND(B68=1,A68=1,F68=1,D68=1,E68=1)
,1,0)))</f>
        <v>0</v>
      </c>
    </row>
    <row r="69" customFormat="false" ht="14.25" hidden="false" customHeight="false" outlineLevel="0" collapsed="false">
      <c r="A69" s="2" t="n">
        <v>1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1</v>
      </c>
      <c r="H69" s="1" t="n">
        <f aca="false"> ((($A69*$A$2)+(1-$A$2)*(1-$A69))* (($B69*$B$2)+(1-$B$2)*(1-$B69)) *(($C69*$C$2)+(1-
$C$2)*(1-$C69))* (($D69*$D$2)+(1-$D$2)*(1-$D69))* (($E69*$E$2)+(1-$E$2)*(1-$E69))*
(($F69*$F$2)+(1-$F$2)*(1-$F69))* (($G69*$G$2)+(1-$G$2)*(1-$G69)))*$M69</f>
        <v>0</v>
      </c>
      <c r="I69" s="6" t="n">
        <f aca="false">PRODUCT(IF(B69=1,0.6,1-0.6), IF(A69=1,0.6,1-0.6),
        IF(C69=1,0.6,1-0.6),
        IF(D69=1,0.6,1-0.6),
        IF(E69=1,0.6,1-0.6),
        IF(F69=1,0.6,1-0.6),
        IF(G69=1,0.6,1-0.6)) * M69</f>
        <v>0</v>
      </c>
      <c r="J69" s="6" t="n">
        <f aca="false">PRODUCT(IF(B69=1,0.7,1-0.7), IF(A69=1,0.7,1-0.7),
          IF(C69=1,0.7,1-0.7),
          IF(D69=1,0.7,1-0.7),
          IF(E69=1,0.7,1-0.7),
          IF(F69=1,0.7,1-0.7),
          IF(G69=1,0.7,1-0.7)) * M69</f>
        <v>0</v>
      </c>
      <c r="K69" s="6" t="n">
        <f aca="false">PRODUCT(IF(B69=1,0.8,1-0.8),IF(A69=1,0.8,1-0.8),
          IF(C69=1,0.8,1-0.8),
          IF(D69=1,0.8,1-0.8),
          IF(E69=1,0.8,1-0.8),
          IF(F69=1,0.8,1-0.8),
          IF(G69=1,0.8,1-0.8)) * M69</f>
        <v>0</v>
      </c>
      <c r="L69" s="6" t="n">
        <f aca="false">PRODUCT(IF(B69=1,0.9,1-0.9), IF(A69=1,0.9,1-0.9),
          IF(C69=1,0.9,1-0.9),
          IF(D69=1,0.9,1-0.9),
          IF(E69=1,0.9,1-0.9),
          IF(F69=1,0.9,1-0.9),
          IF(G69=1,0.9,1-0.9)) * M69</f>
        <v>0</v>
      </c>
      <c r="M69" s="2" t="n">
        <f aca="false">IF(C69=1,1,IF(AND(B69=1,A69=1,G69=1,D69=1),1,IF(AND(B69=1,A69=1,F69=1,D69=1,E69=1)
,1,0)))</f>
        <v>0</v>
      </c>
    </row>
    <row r="70" customFormat="false" ht="14.25" hidden="false" customHeight="false" outlineLevel="0" collapsed="false">
      <c r="A70" s="2" t="n">
        <v>1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1</v>
      </c>
      <c r="G70" s="2" t="n">
        <v>0</v>
      </c>
      <c r="H70" s="1" t="n">
        <f aca="false"> ((($A70*$A$2)+(1-$A$2)*(1-$A70))* (($B70*$B$2)+(1-$B$2)*(1-$B70)) *(($C70*$C$2)+(1-
$C$2)*(1-$C70))* (($D70*$D$2)+(1-$D$2)*(1-$D70))* (($E70*$E$2)+(1-$E$2)*(1-$E70))*
(($F70*$F$2)+(1-$F$2)*(1-$F70))* (($G70*$G$2)+(1-$G$2)*(1-$G70)))*$M70</f>
        <v>0</v>
      </c>
      <c r="I70" s="6" t="n">
        <f aca="false">PRODUCT(IF(B70=1,0.6,1-0.6), IF(A70=1,0.6,1-0.6),
        IF(C70=1,0.6,1-0.6),
        IF(D70=1,0.6,1-0.6),
        IF(E70=1,0.6,1-0.6),
        IF(F70=1,0.6,1-0.6),
        IF(G70=1,0.6,1-0.6)) * M70</f>
        <v>0</v>
      </c>
      <c r="J70" s="6" t="n">
        <f aca="false">PRODUCT(IF(B70=1,0.7,1-0.7), IF(A70=1,0.7,1-0.7),
          IF(C70=1,0.7,1-0.7),
          IF(D70=1,0.7,1-0.7),
          IF(E70=1,0.7,1-0.7),
          IF(F70=1,0.7,1-0.7),
          IF(G70=1,0.7,1-0.7)) * M70</f>
        <v>0</v>
      </c>
      <c r="K70" s="6" t="n">
        <f aca="false">PRODUCT(IF(B70=1,0.8,1-0.8),IF(A70=1,0.8,1-0.8),
          IF(C70=1,0.8,1-0.8),
          IF(D70=1,0.8,1-0.8),
          IF(E70=1,0.8,1-0.8),
          IF(F70=1,0.8,1-0.8),
          IF(G70=1,0.8,1-0.8)) * M70</f>
        <v>0</v>
      </c>
      <c r="L70" s="6" t="n">
        <f aca="false">PRODUCT(IF(B70=1,0.9,1-0.9), IF(A70=1,0.9,1-0.9),
          IF(C70=1,0.9,1-0.9),
          IF(D70=1,0.9,1-0.9),
          IF(E70=1,0.9,1-0.9),
          IF(F70=1,0.9,1-0.9),
          IF(G70=1,0.9,1-0.9)) * M70</f>
        <v>0</v>
      </c>
      <c r="M70" s="2" t="n">
        <f aca="false">IF(C70=1,1,IF(AND(B70=1,A70=1,G70=1,D70=1),1,IF(AND(B70=1,A70=1,F70=1,D70=1,E70=1)
,1,0)))</f>
        <v>0</v>
      </c>
    </row>
    <row r="71" customFormat="false" ht="14.25" hidden="false" customHeight="false" outlineLevel="0" collapsed="false">
      <c r="A71" s="2" t="n">
        <v>1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1</v>
      </c>
      <c r="G71" s="2" t="n">
        <v>1</v>
      </c>
      <c r="H71" s="1" t="n">
        <f aca="false"> ((($A71*$A$2)+(1-$A$2)*(1-$A71))* (($B71*$B$2)+(1-$B$2)*(1-$B71)) *(($C71*$C$2)+(1-
$C$2)*(1-$C71))* (($D71*$D$2)+(1-$D$2)*(1-$D71))* (($E71*$E$2)+(1-$E$2)*(1-$E71))*
(($F71*$F$2)+(1-$F$2)*(1-$F71))* (($G71*$G$2)+(1-$G$2)*(1-$G71)))*$M71</f>
        <v>0</v>
      </c>
      <c r="I71" s="6" t="n">
        <f aca="false">PRODUCT(IF(B71=1,0.6,1-0.6), IF(A71=1,0.6,1-0.6),
        IF(C71=1,0.6,1-0.6),
        IF(D71=1,0.6,1-0.6),
        IF(E71=1,0.6,1-0.6),
        IF(F71=1,0.6,1-0.6),
        IF(G71=1,0.6,1-0.6)) * M71</f>
        <v>0</v>
      </c>
      <c r="J71" s="6" t="n">
        <f aca="false">PRODUCT(IF(B71=1,0.7,1-0.7), IF(A71=1,0.7,1-0.7),
          IF(C71=1,0.7,1-0.7),
          IF(D71=1,0.7,1-0.7),
          IF(E71=1,0.7,1-0.7),
          IF(F71=1,0.7,1-0.7),
          IF(G71=1,0.7,1-0.7)) * M71</f>
        <v>0</v>
      </c>
      <c r="K71" s="6" t="n">
        <f aca="false">PRODUCT(IF(B71=1,0.8,1-0.8),IF(A71=1,0.8,1-0.8),
          IF(C71=1,0.8,1-0.8),
          IF(D71=1,0.8,1-0.8),
          IF(E71=1,0.8,1-0.8),
          IF(F71=1,0.8,1-0.8),
          IF(G71=1,0.8,1-0.8)) * M71</f>
        <v>0</v>
      </c>
      <c r="L71" s="6" t="n">
        <f aca="false">PRODUCT(IF(B71=1,0.9,1-0.9), IF(A71=1,0.9,1-0.9),
          IF(C71=1,0.9,1-0.9),
          IF(D71=1,0.9,1-0.9),
          IF(E71=1,0.9,1-0.9),
          IF(F71=1,0.9,1-0.9),
          IF(G71=1,0.9,1-0.9)) * M71</f>
        <v>0</v>
      </c>
      <c r="M71" s="2" t="n">
        <f aca="false">IF(C71=1,1,IF(AND(B71=1,A71=1,G71=1,D71=1),1,IF(AND(B71=1,A71=1,F71=1,D71=1,E71=1)
,1,0)))</f>
        <v>0</v>
      </c>
    </row>
    <row r="72" customFormat="false" ht="14.25" hidden="false" customHeight="false" outlineLevel="0" collapsed="false">
      <c r="A72" s="2" t="n">
        <v>1</v>
      </c>
      <c r="B72" s="2" t="n">
        <v>0</v>
      </c>
      <c r="C72" s="2" t="n">
        <v>0</v>
      </c>
      <c r="D72" s="2" t="n">
        <v>0</v>
      </c>
      <c r="E72" s="2" t="n">
        <v>1</v>
      </c>
      <c r="F72" s="2" t="n">
        <v>0</v>
      </c>
      <c r="G72" s="2" t="n">
        <v>0</v>
      </c>
      <c r="H72" s="1" t="n">
        <f aca="false"> ((($A72*$A$2)+(1-$A$2)*(1-$A72))* (($B72*$B$2)+(1-$B$2)*(1-$B72)) *(($C72*$C$2)+(1-
$C$2)*(1-$C72))* (($D72*$D$2)+(1-$D$2)*(1-$D72))* (($E72*$E$2)+(1-$E$2)*(1-$E72))*
(($F72*$F$2)+(1-$F$2)*(1-$F72))* (($G72*$G$2)+(1-$G$2)*(1-$G72)))*$M72</f>
        <v>0</v>
      </c>
      <c r="I72" s="6" t="n">
        <f aca="false">PRODUCT(IF(B72=1,0.6,1-0.6), IF(A72=1,0.6,1-0.6),
        IF(C72=1,0.6,1-0.6),
        IF(D72=1,0.6,1-0.6),
        IF(E72=1,0.6,1-0.6),
        IF(F72=1,0.6,1-0.6),
        IF(G72=1,0.6,1-0.6)) * M72</f>
        <v>0</v>
      </c>
      <c r="J72" s="6" t="n">
        <f aca="false">PRODUCT(IF(B72=1,0.7,1-0.7), IF(A72=1,0.7,1-0.7),
          IF(C72=1,0.7,1-0.7),
          IF(D72=1,0.7,1-0.7),
          IF(E72=1,0.7,1-0.7),
          IF(F72=1,0.7,1-0.7),
          IF(G72=1,0.7,1-0.7)) * M72</f>
        <v>0</v>
      </c>
      <c r="K72" s="6" t="n">
        <f aca="false">PRODUCT(IF(B72=1,0.8,1-0.8),IF(A72=1,0.8,1-0.8),
          IF(C72=1,0.8,1-0.8),
          IF(D72=1,0.8,1-0.8),
          IF(E72=1,0.8,1-0.8),
          IF(F72=1,0.8,1-0.8),
          IF(G72=1,0.8,1-0.8)) * M72</f>
        <v>0</v>
      </c>
      <c r="L72" s="6" t="n">
        <f aca="false">PRODUCT(IF(B72=1,0.9,1-0.9), IF(A72=1,0.9,1-0.9),
          IF(C72=1,0.9,1-0.9),
          IF(D72=1,0.9,1-0.9),
          IF(E72=1,0.9,1-0.9),
          IF(F72=1,0.9,1-0.9),
          IF(G72=1,0.9,1-0.9)) * M72</f>
        <v>0</v>
      </c>
      <c r="M72" s="2" t="n">
        <f aca="false">IF(C72=1,1,IF(AND(B72=1,A72=1,G72=1,D72=1),1,IF(AND(B72=1,A72=1,F72=1,D72=1,E72=1)
,1,0)))</f>
        <v>0</v>
      </c>
    </row>
    <row r="73" customFormat="false" ht="14.25" hidden="false" customHeight="false" outlineLevel="0" collapsed="false">
      <c r="A73" s="2" t="n">
        <v>1</v>
      </c>
      <c r="B73" s="2" t="n">
        <v>0</v>
      </c>
      <c r="C73" s="2" t="n">
        <v>0</v>
      </c>
      <c r="D73" s="2" t="n">
        <v>0</v>
      </c>
      <c r="E73" s="2" t="n">
        <v>1</v>
      </c>
      <c r="F73" s="2" t="n">
        <v>0</v>
      </c>
      <c r="G73" s="2" t="n">
        <v>1</v>
      </c>
      <c r="H73" s="1" t="n">
        <f aca="false"> ((($A73*$A$2)+(1-$A$2)*(1-$A73))* (($B73*$B$2)+(1-$B$2)*(1-$B73)) *(($C73*$C$2)+(1-
$C$2)*(1-$C73))* (($D73*$D$2)+(1-$D$2)*(1-$D73))* (($E73*$E$2)+(1-$E$2)*(1-$E73))*
(($F73*$F$2)+(1-$F$2)*(1-$F73))* (($G73*$G$2)+(1-$G$2)*(1-$G73)))*$M73</f>
        <v>0</v>
      </c>
      <c r="I73" s="6" t="n">
        <f aca="false">PRODUCT(IF(B73=1,0.6,1-0.6), IF(A73=1,0.6,1-0.6),
        IF(C73=1,0.6,1-0.6),
        IF(D73=1,0.6,1-0.6),
        IF(E73=1,0.6,1-0.6),
        IF(F73=1,0.6,1-0.6),
        IF(G73=1,0.6,1-0.6)) * M73</f>
        <v>0</v>
      </c>
      <c r="J73" s="6" t="n">
        <f aca="false">PRODUCT(IF(B73=1,0.7,1-0.7), IF(A73=1,0.7,1-0.7),
          IF(C73=1,0.7,1-0.7),
          IF(D73=1,0.7,1-0.7),
          IF(E73=1,0.7,1-0.7),
          IF(F73=1,0.7,1-0.7),
          IF(G73=1,0.7,1-0.7)) * M73</f>
        <v>0</v>
      </c>
      <c r="K73" s="6" t="n">
        <f aca="false">PRODUCT(IF(B73=1,0.8,1-0.8),IF(A73=1,0.8,1-0.8),
          IF(C73=1,0.8,1-0.8),
          IF(D73=1,0.8,1-0.8),
          IF(E73=1,0.8,1-0.8),
          IF(F73=1,0.8,1-0.8),
          IF(G73=1,0.8,1-0.8)) * M73</f>
        <v>0</v>
      </c>
      <c r="L73" s="6" t="n">
        <f aca="false">PRODUCT(IF(B73=1,0.9,1-0.9), IF(A73=1,0.9,1-0.9),
          IF(C73=1,0.9,1-0.9),
          IF(D73=1,0.9,1-0.9),
          IF(E73=1,0.9,1-0.9),
          IF(F73=1,0.9,1-0.9),
          IF(G73=1,0.9,1-0.9)) * M73</f>
        <v>0</v>
      </c>
      <c r="M73" s="2" t="n">
        <f aca="false">IF(C73=1,1,IF(AND(B73=1,A73=1,G73=1,D73=1),1,IF(AND(B73=1,A73=1,F73=1,D73=1,E73=1)
,1,0)))</f>
        <v>0</v>
      </c>
    </row>
    <row r="74" customFormat="false" ht="14.25" hidden="false" customHeight="false" outlineLevel="0" collapsed="false">
      <c r="A74" s="2" t="n">
        <v>1</v>
      </c>
      <c r="B74" s="2" t="n">
        <v>0</v>
      </c>
      <c r="C74" s="2" t="n">
        <v>0</v>
      </c>
      <c r="D74" s="2" t="n">
        <v>0</v>
      </c>
      <c r="E74" s="2" t="n">
        <v>1</v>
      </c>
      <c r="F74" s="2" t="n">
        <v>1</v>
      </c>
      <c r="G74" s="2" t="n">
        <v>0</v>
      </c>
      <c r="H74" s="1" t="n">
        <f aca="false"> ((($A74*$A$2)+(1-$A$2)*(1-$A74))* (($B74*$B$2)+(1-$B$2)*(1-$B74)) *(($C74*$C$2)+(1-
$C$2)*(1-$C74))* (($D74*$D$2)+(1-$D$2)*(1-$D74))* (($E74*$E$2)+(1-$E$2)*(1-$E74))*
(($F74*$F$2)+(1-$F$2)*(1-$F74))* (($G74*$G$2)+(1-$G$2)*(1-$G74)))*$M74</f>
        <v>0</v>
      </c>
      <c r="I74" s="6" t="n">
        <f aca="false">PRODUCT(IF(B74=1,0.6,1-0.6), IF(A74=1,0.6,1-0.6),
        IF(C74=1,0.6,1-0.6),
        IF(D74=1,0.6,1-0.6),
        IF(E74=1,0.6,1-0.6),
        IF(F74=1,0.6,1-0.6),
        IF(G74=1,0.6,1-0.6)) * M74</f>
        <v>0</v>
      </c>
      <c r="J74" s="6" t="n">
        <f aca="false">PRODUCT(IF(B74=1,0.7,1-0.7), IF(A74=1,0.7,1-0.7),
          IF(C74=1,0.7,1-0.7),
          IF(D74=1,0.7,1-0.7),
          IF(E74=1,0.7,1-0.7),
          IF(F74=1,0.7,1-0.7),
          IF(G74=1,0.7,1-0.7)) * M74</f>
        <v>0</v>
      </c>
      <c r="K74" s="6" t="n">
        <f aca="false">PRODUCT(IF(B74=1,0.8,1-0.8),IF(A74=1,0.8,1-0.8),
          IF(C74=1,0.8,1-0.8),
          IF(D74=1,0.8,1-0.8),
          IF(E74=1,0.8,1-0.8),
          IF(F74=1,0.8,1-0.8),
          IF(G74=1,0.8,1-0.8)) * M74</f>
        <v>0</v>
      </c>
      <c r="L74" s="6" t="n">
        <f aca="false">PRODUCT(IF(B74=1,0.9,1-0.9), IF(A74=1,0.9,1-0.9),
          IF(C74=1,0.9,1-0.9),
          IF(D74=1,0.9,1-0.9),
          IF(E74=1,0.9,1-0.9),
          IF(F74=1,0.9,1-0.9),
          IF(G74=1,0.9,1-0.9)) * M74</f>
        <v>0</v>
      </c>
      <c r="M74" s="2" t="n">
        <f aca="false">IF(C74=1,1,IF(AND(B74=1,A74=1,G74=1,D74=1),1,IF(AND(B74=1,A74=1,F74=1,D74=1,E74=1)
,1,0)))</f>
        <v>0</v>
      </c>
    </row>
    <row r="75" customFormat="false" ht="14.25" hidden="false" customHeight="false" outlineLevel="0" collapsed="false">
      <c r="A75" s="2" t="n">
        <v>1</v>
      </c>
      <c r="B75" s="2" t="n">
        <v>0</v>
      </c>
      <c r="C75" s="2" t="n">
        <v>0</v>
      </c>
      <c r="D75" s="2" t="n">
        <v>0</v>
      </c>
      <c r="E75" s="2" t="n">
        <v>1</v>
      </c>
      <c r="F75" s="2" t="n">
        <v>1</v>
      </c>
      <c r="G75" s="2" t="n">
        <v>1</v>
      </c>
      <c r="H75" s="1" t="n">
        <f aca="false"> ((($A75*$A$2)+(1-$A$2)*(1-$A75))* (($B75*$B$2)+(1-$B$2)*(1-$B75)) *(($C75*$C$2)+(1-
$C$2)*(1-$C75))* (($D75*$D$2)+(1-$D$2)*(1-$D75))* (($E75*$E$2)+(1-$E$2)*(1-$E75))*
(($F75*$F$2)+(1-$F$2)*(1-$F75))* (($G75*$G$2)+(1-$G$2)*(1-$G75)))*$M75</f>
        <v>0</v>
      </c>
      <c r="I75" s="6" t="n">
        <f aca="false">PRODUCT(IF(B75=1,0.6,1-0.6), IF(A75=1,0.6,1-0.6),
        IF(C75=1,0.6,1-0.6),
        IF(D75=1,0.6,1-0.6),
        IF(E75=1,0.6,1-0.6),
        IF(F75=1,0.6,1-0.6),
        IF(G75=1,0.6,1-0.6)) * M75</f>
        <v>0</v>
      </c>
      <c r="J75" s="6" t="n">
        <f aca="false">PRODUCT(IF(B75=1,0.7,1-0.7), IF(A75=1,0.7,1-0.7),
          IF(C75=1,0.7,1-0.7),
          IF(D75=1,0.7,1-0.7),
          IF(E75=1,0.7,1-0.7),
          IF(F75=1,0.7,1-0.7),
          IF(G75=1,0.7,1-0.7)) * M75</f>
        <v>0</v>
      </c>
      <c r="K75" s="6" t="n">
        <f aca="false">PRODUCT(IF(B75=1,0.8,1-0.8),IF(A75=1,0.8,1-0.8),
          IF(C75=1,0.8,1-0.8),
          IF(D75=1,0.8,1-0.8),
          IF(E75=1,0.8,1-0.8),
          IF(F75=1,0.8,1-0.8),
          IF(G75=1,0.8,1-0.8)) * M75</f>
        <v>0</v>
      </c>
      <c r="L75" s="6" t="n">
        <f aca="false">PRODUCT(IF(B75=1,0.9,1-0.9), IF(A75=1,0.9,1-0.9),
          IF(C75=1,0.9,1-0.9),
          IF(D75=1,0.9,1-0.9),
          IF(E75=1,0.9,1-0.9),
          IF(F75=1,0.9,1-0.9),
          IF(G75=1,0.9,1-0.9)) * M75</f>
        <v>0</v>
      </c>
      <c r="M75" s="2" t="n">
        <f aca="false">IF(C75=1,1,IF(AND(B75=1,A75=1,G75=1,D75=1),1,IF(AND(B75=1,A75=1,F75=1,D75=1,E75=1)
,1,0)))</f>
        <v>0</v>
      </c>
    </row>
    <row r="76" customFormat="false" ht="14.25" hidden="false" customHeight="false" outlineLevel="0" collapsed="false">
      <c r="A76" s="2" t="n">
        <v>1</v>
      </c>
      <c r="B76" s="2" t="n">
        <v>0</v>
      </c>
      <c r="C76" s="2" t="n">
        <v>0</v>
      </c>
      <c r="D76" s="2" t="n">
        <v>1</v>
      </c>
      <c r="E76" s="2" t="n">
        <v>0</v>
      </c>
      <c r="F76" s="2" t="n">
        <v>0</v>
      </c>
      <c r="G76" s="2" t="n">
        <v>0</v>
      </c>
      <c r="H76" s="1" t="n">
        <f aca="false"> ((($A76*$A$2)+(1-$A$2)*(1-$A76))* (($B76*$B$2)+(1-$B$2)*(1-$B76)) *(($C76*$C$2)+(1-
$C$2)*(1-$C76))* (($D76*$D$2)+(1-$D$2)*(1-$D76))* (($E76*$E$2)+(1-$E$2)*(1-$E76))*
(($F76*$F$2)+(1-$F$2)*(1-$F76))* (($G76*$G$2)+(1-$G$2)*(1-$G76)))*$M76</f>
        <v>0</v>
      </c>
      <c r="I76" s="6" t="n">
        <f aca="false">PRODUCT(IF(B76=1,0.6,1-0.6), IF(A76=1,0.6,1-0.6),
        IF(C76=1,0.6,1-0.6),
        IF(D76=1,0.6,1-0.6),
        IF(E76=1,0.6,1-0.6),
        IF(F76=1,0.6,1-0.6),
        IF(G76=1,0.6,1-0.6)) * M76</f>
        <v>0</v>
      </c>
      <c r="J76" s="6" t="n">
        <f aca="false">PRODUCT(IF(B76=1,0.7,1-0.7), IF(A76=1,0.7,1-0.7),
          IF(C76=1,0.7,1-0.7),
          IF(D76=1,0.7,1-0.7),
          IF(E76=1,0.7,1-0.7),
          IF(F76=1,0.7,1-0.7),
          IF(G76=1,0.7,1-0.7)) * M76</f>
        <v>0</v>
      </c>
      <c r="K76" s="6" t="n">
        <f aca="false">PRODUCT(IF(B76=1,0.8,1-0.8),IF(A76=1,0.8,1-0.8),
          IF(C76=1,0.8,1-0.8),
          IF(D76=1,0.8,1-0.8),
          IF(E76=1,0.8,1-0.8),
          IF(F76=1,0.8,1-0.8),
          IF(G76=1,0.8,1-0.8)) * M76</f>
        <v>0</v>
      </c>
      <c r="L76" s="6" t="n">
        <f aca="false">PRODUCT(IF(B76=1,0.9,1-0.9), IF(A76=1,0.9,1-0.9),
          IF(C76=1,0.9,1-0.9),
          IF(D76=1,0.9,1-0.9),
          IF(E76=1,0.9,1-0.9),
          IF(F76=1,0.9,1-0.9),
          IF(G76=1,0.9,1-0.9)) * M76</f>
        <v>0</v>
      </c>
      <c r="M76" s="2" t="n">
        <f aca="false">IF(C76=1,1,IF(AND(B76=1,A76=1,G76=1,D76=1),1,IF(AND(B76=1,A76=1,F76=1,D76=1,E76=1)
,1,0)))</f>
        <v>0</v>
      </c>
    </row>
    <row r="77" customFormat="false" ht="14.25" hidden="false" customHeight="false" outlineLevel="0" collapsed="false">
      <c r="A77" s="2" t="n">
        <v>1</v>
      </c>
      <c r="B77" s="2" t="n">
        <v>0</v>
      </c>
      <c r="C77" s="2" t="n">
        <v>0</v>
      </c>
      <c r="D77" s="2" t="n">
        <v>1</v>
      </c>
      <c r="E77" s="2" t="n">
        <v>0</v>
      </c>
      <c r="F77" s="2" t="n">
        <v>0</v>
      </c>
      <c r="G77" s="2" t="n">
        <v>1</v>
      </c>
      <c r="H77" s="1" t="n">
        <f aca="false"> ((($A77*$A$2)+(1-$A$2)*(1-$A77))* (($B77*$B$2)+(1-$B$2)*(1-$B77)) *(($C77*$C$2)+(1-
$C$2)*(1-$C77))* (($D77*$D$2)+(1-$D$2)*(1-$D77))* (($E77*$E$2)+(1-$E$2)*(1-$E77))*
(($F77*$F$2)+(1-$F$2)*(1-$F77))* (($G77*$G$2)+(1-$G$2)*(1-$G77)))*$M77</f>
        <v>0</v>
      </c>
      <c r="I77" s="6" t="n">
        <f aca="false">PRODUCT(IF(B77=1,0.6,1-0.6), IF(A77=1,0.6,1-0.6),
        IF(C77=1,0.6,1-0.6),
        IF(D77=1,0.6,1-0.6),
        IF(E77=1,0.6,1-0.6),
        IF(F77=1,0.6,1-0.6),
        IF(G77=1,0.6,1-0.6)) * M77</f>
        <v>0</v>
      </c>
      <c r="J77" s="6" t="n">
        <f aca="false">PRODUCT(IF(B77=1,0.7,1-0.7), IF(A77=1,0.7,1-0.7),
          IF(C77=1,0.7,1-0.7),
          IF(D77=1,0.7,1-0.7),
          IF(E77=1,0.7,1-0.7),
          IF(F77=1,0.7,1-0.7),
          IF(G77=1,0.7,1-0.7)) * M77</f>
        <v>0</v>
      </c>
      <c r="K77" s="6" t="n">
        <f aca="false">PRODUCT(IF(B77=1,0.8,1-0.8),IF(A77=1,0.8,1-0.8),
          IF(C77=1,0.8,1-0.8),
          IF(D77=1,0.8,1-0.8),
          IF(E77=1,0.8,1-0.8),
          IF(F77=1,0.8,1-0.8),
          IF(G77=1,0.8,1-0.8)) * M77</f>
        <v>0</v>
      </c>
      <c r="L77" s="6" t="n">
        <f aca="false">PRODUCT(IF(B77=1,0.9,1-0.9), IF(A77=1,0.9,1-0.9),
          IF(C77=1,0.9,1-0.9),
          IF(D77=1,0.9,1-0.9),
          IF(E77=1,0.9,1-0.9),
          IF(F77=1,0.9,1-0.9),
          IF(G77=1,0.9,1-0.9)) * M77</f>
        <v>0</v>
      </c>
      <c r="M77" s="2" t="n">
        <f aca="false">IF(C77=1,1,IF(AND(B77=1,A77=1,G77=1,D77=1),1,IF(AND(B77=1,A77=1,F77=1,D77=1,E77=1)
,1,0)))</f>
        <v>0</v>
      </c>
    </row>
    <row r="78" customFormat="false" ht="14.25" hidden="false" customHeight="false" outlineLevel="0" collapsed="false">
      <c r="A78" s="2" t="n">
        <v>1</v>
      </c>
      <c r="B78" s="2" t="n">
        <v>0</v>
      </c>
      <c r="C78" s="2" t="n">
        <v>0</v>
      </c>
      <c r="D78" s="2" t="n">
        <v>1</v>
      </c>
      <c r="E78" s="2" t="n">
        <v>0</v>
      </c>
      <c r="F78" s="2" t="n">
        <v>1</v>
      </c>
      <c r="G78" s="2" t="n">
        <v>0</v>
      </c>
      <c r="H78" s="1" t="n">
        <f aca="false"> ((($A78*$A$2)+(1-$A$2)*(1-$A78))* (($B78*$B$2)+(1-$B$2)*(1-$B78)) *(($C78*$C$2)+(1-
$C$2)*(1-$C78))* (($D78*$D$2)+(1-$D$2)*(1-$D78))* (($E78*$E$2)+(1-$E$2)*(1-$E78))*
(($F78*$F$2)+(1-$F$2)*(1-$F78))* (($G78*$G$2)+(1-$G$2)*(1-$G78)))*$M78</f>
        <v>0</v>
      </c>
      <c r="I78" s="6" t="n">
        <f aca="false">PRODUCT(IF(B78=1,0.6,1-0.6), IF(A78=1,0.6,1-0.6),
        IF(C78=1,0.6,1-0.6),
        IF(D78=1,0.6,1-0.6),
        IF(E78=1,0.6,1-0.6),
        IF(F78=1,0.6,1-0.6),
        IF(G78=1,0.6,1-0.6)) * M78</f>
        <v>0</v>
      </c>
      <c r="J78" s="6" t="n">
        <f aca="false">PRODUCT(IF(B78=1,0.7,1-0.7), IF(A78=1,0.7,1-0.7),
          IF(C78=1,0.7,1-0.7),
          IF(D78=1,0.7,1-0.7),
          IF(E78=1,0.7,1-0.7),
          IF(F78=1,0.7,1-0.7),
          IF(G78=1,0.7,1-0.7)) * M78</f>
        <v>0</v>
      </c>
      <c r="K78" s="6" t="n">
        <f aca="false">PRODUCT(IF(B78=1,0.8,1-0.8),IF(A78=1,0.8,1-0.8),
          IF(C78=1,0.8,1-0.8),
          IF(D78=1,0.8,1-0.8),
          IF(E78=1,0.8,1-0.8),
          IF(F78=1,0.8,1-0.8),
          IF(G78=1,0.8,1-0.8)) * M78</f>
        <v>0</v>
      </c>
      <c r="L78" s="6" t="n">
        <f aca="false">PRODUCT(IF(B78=1,0.9,1-0.9), IF(A78=1,0.9,1-0.9),
          IF(C78=1,0.9,1-0.9),
          IF(D78=1,0.9,1-0.9),
          IF(E78=1,0.9,1-0.9),
          IF(F78=1,0.9,1-0.9),
          IF(G78=1,0.9,1-0.9)) * M78</f>
        <v>0</v>
      </c>
      <c r="M78" s="2" t="n">
        <f aca="false">IF(C78=1,1,IF(AND(B78=1,A78=1,G78=1,D78=1),1,IF(AND(B78=1,A78=1,F78=1,D78=1,E78=1)
,1,0)))</f>
        <v>0</v>
      </c>
    </row>
    <row r="79" customFormat="false" ht="14.25" hidden="false" customHeight="false" outlineLevel="0" collapsed="false">
      <c r="A79" s="2" t="n">
        <v>1</v>
      </c>
      <c r="B79" s="2" t="n">
        <v>0</v>
      </c>
      <c r="C79" s="2" t="n">
        <v>0</v>
      </c>
      <c r="D79" s="2" t="n">
        <v>1</v>
      </c>
      <c r="E79" s="2" t="n">
        <v>0</v>
      </c>
      <c r="F79" s="2" t="n">
        <v>1</v>
      </c>
      <c r="G79" s="2" t="n">
        <v>1</v>
      </c>
      <c r="H79" s="1" t="n">
        <f aca="false"> ((($A79*$A$2)+(1-$A$2)*(1-$A79))* (($B79*$B$2)+(1-$B$2)*(1-$B79)) *(($C79*$C$2)+(1-
$C$2)*(1-$C79))* (($D79*$D$2)+(1-$D$2)*(1-$D79))* (($E79*$E$2)+(1-$E$2)*(1-$E79))*
(($F79*$F$2)+(1-$F$2)*(1-$F79))* (($G79*$G$2)+(1-$G$2)*(1-$G79)))*$M79</f>
        <v>0</v>
      </c>
      <c r="I79" s="6" t="n">
        <f aca="false">PRODUCT(IF(B79=1,0.6,1-0.6), IF(A79=1,0.6,1-0.6),
        IF(C79=1,0.6,1-0.6),
        IF(D79=1,0.6,1-0.6),
        IF(E79=1,0.6,1-0.6),
        IF(F79=1,0.6,1-0.6),
        IF(G79=1,0.6,1-0.6)) * M79</f>
        <v>0</v>
      </c>
      <c r="J79" s="6" t="n">
        <f aca="false">PRODUCT(IF(B79=1,0.7,1-0.7), IF(A79=1,0.7,1-0.7),
          IF(C79=1,0.7,1-0.7),
          IF(D79=1,0.7,1-0.7),
          IF(E79=1,0.7,1-0.7),
          IF(F79=1,0.7,1-0.7),
          IF(G79=1,0.7,1-0.7)) * M79</f>
        <v>0</v>
      </c>
      <c r="K79" s="6" t="n">
        <f aca="false">PRODUCT(IF(B79=1,0.8,1-0.8),IF(A79=1,0.8,1-0.8),
          IF(C79=1,0.8,1-0.8),
          IF(D79=1,0.8,1-0.8),
          IF(E79=1,0.8,1-0.8),
          IF(F79=1,0.8,1-0.8),
          IF(G79=1,0.8,1-0.8)) * M79</f>
        <v>0</v>
      </c>
      <c r="L79" s="6" t="n">
        <f aca="false">PRODUCT(IF(B79=1,0.9,1-0.9), IF(A79=1,0.9,1-0.9),
          IF(C79=1,0.9,1-0.9),
          IF(D79=1,0.9,1-0.9),
          IF(E79=1,0.9,1-0.9),
          IF(F79=1,0.9,1-0.9),
          IF(G79=1,0.9,1-0.9)) * M79</f>
        <v>0</v>
      </c>
      <c r="M79" s="2" t="n">
        <f aca="false">IF(C79=1,1,IF(AND(B79=1,A79=1,G79=1,D79=1),1,IF(AND(B79=1,A79=1,F79=1,D79=1,E79=1)
,1,0)))</f>
        <v>0</v>
      </c>
    </row>
    <row r="80" customFormat="false" ht="14.25" hidden="false" customHeight="false" outlineLevel="0" collapsed="false">
      <c r="A80" s="2" t="n">
        <v>1</v>
      </c>
      <c r="B80" s="2" t="n">
        <v>0</v>
      </c>
      <c r="C80" s="2" t="n">
        <v>0</v>
      </c>
      <c r="D80" s="2" t="n">
        <v>1</v>
      </c>
      <c r="E80" s="2" t="n">
        <v>1</v>
      </c>
      <c r="F80" s="2" t="n">
        <v>0</v>
      </c>
      <c r="G80" s="2" t="n">
        <v>0</v>
      </c>
      <c r="H80" s="1" t="n">
        <f aca="false"> ((($A80*$A$2)+(1-$A$2)*(1-$A80))* (($B80*$B$2)+(1-$B$2)*(1-$B80)) *(($C80*$C$2)+(1-
$C$2)*(1-$C80))* (($D80*$D$2)+(1-$D$2)*(1-$D80))* (($E80*$E$2)+(1-$E$2)*(1-$E80))*
(($F80*$F$2)+(1-$F$2)*(1-$F80))* (($G80*$G$2)+(1-$G$2)*(1-$G80)))*$M80</f>
        <v>0</v>
      </c>
      <c r="I80" s="6" t="n">
        <f aca="false">PRODUCT(IF(B80=1,0.6,1-0.6), IF(A80=1,0.6,1-0.6),
        IF(C80=1,0.6,1-0.6),
        IF(D80=1,0.6,1-0.6),
        IF(E80=1,0.6,1-0.6),
        IF(F80=1,0.6,1-0.6),
        IF(G80=1,0.6,1-0.6)) * M80</f>
        <v>0</v>
      </c>
      <c r="J80" s="6" t="n">
        <f aca="false">PRODUCT(IF(B80=1,0.7,1-0.7), IF(A80=1,0.7,1-0.7),
          IF(C80=1,0.7,1-0.7),
          IF(D80=1,0.7,1-0.7),
          IF(E80=1,0.7,1-0.7),
          IF(F80=1,0.7,1-0.7),
          IF(G80=1,0.7,1-0.7)) * M80</f>
        <v>0</v>
      </c>
      <c r="K80" s="6" t="n">
        <f aca="false">PRODUCT(IF(B80=1,0.8,1-0.8),IF(A80=1,0.8,1-0.8),
          IF(C80=1,0.8,1-0.8),
          IF(D80=1,0.8,1-0.8),
          IF(E80=1,0.8,1-0.8),
          IF(F80=1,0.8,1-0.8),
          IF(G80=1,0.8,1-0.8)) * M80</f>
        <v>0</v>
      </c>
      <c r="L80" s="6" t="n">
        <f aca="false">PRODUCT(IF(B80=1,0.9,1-0.9), IF(A80=1,0.9,1-0.9),
          IF(C80=1,0.9,1-0.9),
          IF(D80=1,0.9,1-0.9),
          IF(E80=1,0.9,1-0.9),
          IF(F80=1,0.9,1-0.9),
          IF(G80=1,0.9,1-0.9)) * M80</f>
        <v>0</v>
      </c>
      <c r="M80" s="2" t="n">
        <f aca="false">IF(C80=1,1,IF(AND(B80=1,A80=1,G80=1,D80=1),1,IF(AND(B80=1,A80=1,F80=1,D80=1,E80=1)
,1,0)))</f>
        <v>0</v>
      </c>
    </row>
    <row r="81" customFormat="false" ht="14.25" hidden="false" customHeight="false" outlineLevel="0" collapsed="false">
      <c r="A81" s="2" t="n">
        <v>1</v>
      </c>
      <c r="B81" s="2" t="n">
        <v>0</v>
      </c>
      <c r="C81" s="2" t="n">
        <v>0</v>
      </c>
      <c r="D81" s="2" t="n">
        <v>1</v>
      </c>
      <c r="E81" s="2" t="n">
        <v>1</v>
      </c>
      <c r="F81" s="2" t="n">
        <v>0</v>
      </c>
      <c r="G81" s="2" t="n">
        <v>1</v>
      </c>
      <c r="H81" s="1" t="n">
        <f aca="false"> ((($A81*$A$2)+(1-$A$2)*(1-$A81))* (($B81*$B$2)+(1-$B$2)*(1-$B81)) *(($C81*$C$2)+(1-
$C$2)*(1-$C81))* (($D81*$D$2)+(1-$D$2)*(1-$D81))* (($E81*$E$2)+(1-$E$2)*(1-$E81))*
(($F81*$F$2)+(1-$F$2)*(1-$F81))* (($G81*$G$2)+(1-$G$2)*(1-$G81)))*$M81</f>
        <v>0</v>
      </c>
      <c r="I81" s="6" t="n">
        <f aca="false">PRODUCT(IF(B81=1,0.6,1-0.6), IF(A81=1,0.6,1-0.6),
        IF(C81=1,0.6,1-0.6),
        IF(D81=1,0.6,1-0.6),
        IF(E81=1,0.6,1-0.6),
        IF(F81=1,0.6,1-0.6),
        IF(G81=1,0.6,1-0.6)) * M81</f>
        <v>0</v>
      </c>
      <c r="J81" s="6" t="n">
        <f aca="false">PRODUCT(IF(B81=1,0.7,1-0.7), IF(A81=1,0.7,1-0.7),
          IF(C81=1,0.7,1-0.7),
          IF(D81=1,0.7,1-0.7),
          IF(E81=1,0.7,1-0.7),
          IF(F81=1,0.7,1-0.7),
          IF(G81=1,0.7,1-0.7)) * M81</f>
        <v>0</v>
      </c>
      <c r="K81" s="6" t="n">
        <f aca="false">PRODUCT(IF(B81=1,0.8,1-0.8),IF(A81=1,0.8,1-0.8),
          IF(C81=1,0.8,1-0.8),
          IF(D81=1,0.8,1-0.8),
          IF(E81=1,0.8,1-0.8),
          IF(F81=1,0.8,1-0.8),
          IF(G81=1,0.8,1-0.8)) * M81</f>
        <v>0</v>
      </c>
      <c r="L81" s="6" t="n">
        <f aca="false">PRODUCT(IF(B81=1,0.9,1-0.9), IF(A81=1,0.9,1-0.9),
          IF(C81=1,0.9,1-0.9),
          IF(D81=1,0.9,1-0.9),
          IF(E81=1,0.9,1-0.9),
          IF(F81=1,0.9,1-0.9),
          IF(G81=1,0.9,1-0.9)) * M81</f>
        <v>0</v>
      </c>
      <c r="M81" s="2" t="n">
        <f aca="false">IF(C81=1,1,IF(AND(B81=1,A81=1,G81=1,D81=1),1,IF(AND(B81=1,A81=1,F81=1,D81=1,E81=1)
,1,0)))</f>
        <v>0</v>
      </c>
    </row>
    <row r="82" customFormat="false" ht="14.25" hidden="false" customHeight="false" outlineLevel="0" collapsed="false">
      <c r="A82" s="2" t="n">
        <v>1</v>
      </c>
      <c r="B82" s="2" t="n">
        <v>0</v>
      </c>
      <c r="C82" s="2" t="n">
        <v>0</v>
      </c>
      <c r="D82" s="2" t="n">
        <v>1</v>
      </c>
      <c r="E82" s="2" t="n">
        <v>1</v>
      </c>
      <c r="F82" s="2" t="n">
        <v>1</v>
      </c>
      <c r="G82" s="2" t="n">
        <v>0</v>
      </c>
      <c r="H82" s="1" t="n">
        <f aca="false"> ((($A82*$A$2)+(1-$A$2)*(1-$A82))* (($B82*$B$2)+(1-$B$2)*(1-$B82)) *(($C82*$C$2)+(1-
$C$2)*(1-$C82))* (($D82*$D$2)+(1-$D$2)*(1-$D82))* (($E82*$E$2)+(1-$E$2)*(1-$E82))*
(($F82*$F$2)+(1-$F$2)*(1-$F82))* (($G82*$G$2)+(1-$G$2)*(1-$G82)))*$M82</f>
        <v>0</v>
      </c>
      <c r="I82" s="6" t="n">
        <f aca="false">PRODUCT(IF(B82=1,0.6,1-0.6), IF(A82=1,0.6,1-0.6),
        IF(C82=1,0.6,1-0.6),
        IF(D82=1,0.6,1-0.6),
        IF(E82=1,0.6,1-0.6),
        IF(F82=1,0.6,1-0.6),
        IF(G82=1,0.6,1-0.6)) * M82</f>
        <v>0</v>
      </c>
      <c r="J82" s="6" t="n">
        <f aca="false">PRODUCT(IF(B82=1,0.7,1-0.7), IF(A82=1,0.7,1-0.7),
          IF(C82=1,0.7,1-0.7),
          IF(D82=1,0.7,1-0.7),
          IF(E82=1,0.7,1-0.7),
          IF(F82=1,0.7,1-0.7),
          IF(G82=1,0.7,1-0.7)) * M82</f>
        <v>0</v>
      </c>
      <c r="K82" s="6" t="n">
        <f aca="false">PRODUCT(IF(B82=1,0.8,1-0.8),IF(A82=1,0.8,1-0.8),
          IF(C82=1,0.8,1-0.8),
          IF(D82=1,0.8,1-0.8),
          IF(E82=1,0.8,1-0.8),
          IF(F82=1,0.8,1-0.8),
          IF(G82=1,0.8,1-0.8)) * M82</f>
        <v>0</v>
      </c>
      <c r="L82" s="6" t="n">
        <f aca="false">PRODUCT(IF(B82=1,0.9,1-0.9), IF(A82=1,0.9,1-0.9),
          IF(C82=1,0.9,1-0.9),
          IF(D82=1,0.9,1-0.9),
          IF(E82=1,0.9,1-0.9),
          IF(F82=1,0.9,1-0.9),
          IF(G82=1,0.9,1-0.9)) * M82</f>
        <v>0</v>
      </c>
      <c r="M82" s="2" t="n">
        <f aca="false">IF(C82=1,1,IF(AND(B82=1,A82=1,G82=1,D82=1),1,IF(AND(B82=1,A82=1,F82=1,D82=1,E82=1)
,1,0)))</f>
        <v>0</v>
      </c>
    </row>
    <row r="83" customFormat="false" ht="14.25" hidden="false" customHeight="false" outlineLevel="0" collapsed="false">
      <c r="A83" s="2" t="n">
        <v>1</v>
      </c>
      <c r="B83" s="2" t="n">
        <v>0</v>
      </c>
      <c r="C83" s="2" t="n">
        <v>0</v>
      </c>
      <c r="D83" s="2" t="n">
        <v>1</v>
      </c>
      <c r="E83" s="2" t="n">
        <v>1</v>
      </c>
      <c r="F83" s="2" t="n">
        <v>1</v>
      </c>
      <c r="G83" s="2" t="n">
        <v>1</v>
      </c>
      <c r="H83" s="1" t="n">
        <f aca="false"> ((($A83*$A$2)+(1-$A$2)*(1-$A83))* (($B83*$B$2)+(1-$B$2)*(1-$B83)) *(($C83*$C$2)+(1-
$C$2)*(1-$C83))* (($D83*$D$2)+(1-$D$2)*(1-$D83))* (($E83*$E$2)+(1-$E$2)*(1-$E83))*
(($F83*$F$2)+(1-$F$2)*(1-$F83))* (($G83*$G$2)+(1-$G$2)*(1-$G83)))*$M83</f>
        <v>0</v>
      </c>
      <c r="I83" s="6" t="n">
        <f aca="false">PRODUCT(IF(B83=1,0.6,1-0.6), IF(A83=1,0.6,1-0.6),
        IF(C83=1,0.6,1-0.6),
        IF(D83=1,0.6,1-0.6),
        IF(E83=1,0.6,1-0.6),
        IF(F83=1,0.6,1-0.6),
        IF(G83=1,0.6,1-0.6)) * M83</f>
        <v>0</v>
      </c>
      <c r="J83" s="6" t="n">
        <f aca="false">PRODUCT(IF(B83=1,0.7,1-0.7), IF(A83=1,0.7,1-0.7),
          IF(C83=1,0.7,1-0.7),
          IF(D83=1,0.7,1-0.7),
          IF(E83=1,0.7,1-0.7),
          IF(F83=1,0.7,1-0.7),
          IF(G83=1,0.7,1-0.7)) * M83</f>
        <v>0</v>
      </c>
      <c r="K83" s="6" t="n">
        <f aca="false">PRODUCT(IF(B83=1,0.8,1-0.8),IF(A83=1,0.8,1-0.8),
          IF(C83=1,0.8,1-0.8),
          IF(D83=1,0.8,1-0.8),
          IF(E83=1,0.8,1-0.8),
          IF(F83=1,0.8,1-0.8),
          IF(G83=1,0.8,1-0.8)) * M83</f>
        <v>0</v>
      </c>
      <c r="L83" s="6" t="n">
        <f aca="false">PRODUCT(IF(B83=1,0.9,1-0.9), IF(A83=1,0.9,1-0.9),
          IF(C83=1,0.9,1-0.9),
          IF(D83=1,0.9,1-0.9),
          IF(E83=1,0.9,1-0.9),
          IF(F83=1,0.9,1-0.9),
          IF(G83=1,0.9,1-0.9)) * M83</f>
        <v>0</v>
      </c>
      <c r="M83" s="2" t="n">
        <f aca="false">IF(C83=1,1,IF(AND(B83=1,A83=1,G83=1,D83=1),1,IF(AND(B83=1,A83=1,F83=1,D83=1,E83=1)
,1,0)))</f>
        <v>0</v>
      </c>
    </row>
    <row r="84" customFormat="false" ht="14.25" hidden="false" customHeight="false" outlineLevel="0" collapsed="false">
      <c r="A84" s="2" t="n">
        <v>1</v>
      </c>
      <c r="B84" s="2" t="n">
        <v>0</v>
      </c>
      <c r="C84" s="2" t="n">
        <v>1</v>
      </c>
      <c r="D84" s="2" t="n">
        <v>0</v>
      </c>
      <c r="E84" s="2" t="n">
        <v>0</v>
      </c>
      <c r="F84" s="2" t="n">
        <v>0</v>
      </c>
      <c r="G84" s="2" t="n">
        <v>0</v>
      </c>
      <c r="H84" s="1" t="n">
        <f aca="false"> ((($A84*$A$2)+(1-$A$2)*(1-$A84))* (($B84*$B$2)+(1-$B$2)*(1-$B84)) *(($C84*$C$2)+(1-
$C$2)*(1-$C84))* (($D84*$D$2)+(1-$D$2)*(1-$D84))* (($E84*$E$2)+(1-$E$2)*(1-$E84))*
(($F84*$F$2)+(1-$F$2)*(1-$F84))* (($G84*$G$2)+(1-$G$2)*(1-$G84)))*$M84</f>
        <v>0.0011907</v>
      </c>
      <c r="I84" s="6" t="n">
        <f aca="false">PRODUCT(IF(B84=1,0.6,1-0.6), IF(A84=1,0.6,1-0.6),
        IF(C84=1,0.6,1-0.6),
        IF(D84=1,0.6,1-0.6),
        IF(E84=1,0.6,1-0.6),
        IF(F84=1,0.6,1-0.6),
        IF(G84=1,0.6,1-0.6)) * M84</f>
        <v>0.0036864</v>
      </c>
      <c r="J84" s="6" t="n">
        <f aca="false">PRODUCT(IF(B84=1,0.7,1-0.7), IF(A84=1,0.7,1-0.7),
          IF(C84=1,0.7,1-0.7),
          IF(D84=1,0.7,1-0.7),
          IF(E84=1,0.7,1-0.7),
          IF(F84=1,0.7,1-0.7),
          IF(G84=1,0.7,1-0.7)) * M84</f>
        <v>0.0011907</v>
      </c>
      <c r="K84" s="6" t="n">
        <f aca="false">PRODUCT(IF(B84=1,0.8,1-0.8),IF(A84=1,0.8,1-0.8),
          IF(C84=1,0.8,1-0.8),
          IF(D84=1,0.8,1-0.8),
          IF(E84=1,0.8,1-0.8),
          IF(F84=1,0.8,1-0.8),
          IF(G84=1,0.8,1-0.8)) * M84</f>
        <v>0.0002048</v>
      </c>
      <c r="L84" s="6" t="n">
        <f aca="false">PRODUCT(IF(B84=1,0.9,1-0.9), IF(A84=1,0.9,1-0.9),
          IF(C84=1,0.9,1-0.9),
          IF(D84=1,0.9,1-0.9),
          IF(E84=1,0.9,1-0.9),
          IF(F84=1,0.9,1-0.9),
          IF(G84=1,0.9,1-0.9)) * M84</f>
        <v>8.09999999999999E-006</v>
      </c>
      <c r="M84" s="2" t="n">
        <f aca="false">IF(C84=1,1,IF(AND(B84=1,A84=1,G84=1,D84=1),1,IF(AND(B84=1,A84=1,F84=1,D84=1,E84=1)
,1,0)))</f>
        <v>1</v>
      </c>
    </row>
    <row r="85" customFormat="false" ht="14.25" hidden="false" customHeight="false" outlineLevel="0" collapsed="false">
      <c r="A85" s="2" t="n">
        <v>1</v>
      </c>
      <c r="B85" s="2" t="n">
        <v>0</v>
      </c>
      <c r="C85" s="2" t="n">
        <v>1</v>
      </c>
      <c r="D85" s="2" t="n">
        <v>0</v>
      </c>
      <c r="E85" s="2" t="n">
        <v>0</v>
      </c>
      <c r="F85" s="2" t="n">
        <v>0</v>
      </c>
      <c r="G85" s="2" t="n">
        <v>1</v>
      </c>
      <c r="H85" s="1" t="n">
        <f aca="false"> ((($A85*$A$2)+(1-$A$2)*(1-$A85))* (($B85*$B$2)+(1-$B$2)*(1-$B85)) *(($C85*$C$2)+(1-
$C$2)*(1-$C85))* (($D85*$D$2)+(1-$D$2)*(1-$D85))* (($E85*$E$2)+(1-$E$2)*(1-$E85))*
(($F85*$F$2)+(1-$F$2)*(1-$F85))* (($G85*$G$2)+(1-$G$2)*(1-$G85)))*$M85</f>
        <v>0.0027783</v>
      </c>
      <c r="I85" s="6" t="n">
        <f aca="false">PRODUCT(IF(B85=1,0.6,1-0.6), IF(A85=1,0.6,1-0.6),
        IF(C85=1,0.6,1-0.6),
        IF(D85=1,0.6,1-0.6),
        IF(E85=1,0.6,1-0.6),
        IF(F85=1,0.6,1-0.6),
        IF(G85=1,0.6,1-0.6)) * M85</f>
        <v>0.0055296</v>
      </c>
      <c r="J85" s="6" t="n">
        <f aca="false">PRODUCT(IF(B85=1,0.7,1-0.7), IF(A85=1,0.7,1-0.7),
          IF(C85=1,0.7,1-0.7),
          IF(D85=1,0.7,1-0.7),
          IF(E85=1,0.7,1-0.7),
          IF(F85=1,0.7,1-0.7),
          IF(G85=1,0.7,1-0.7)) * M85</f>
        <v>0.0027783</v>
      </c>
      <c r="K85" s="6" t="n">
        <f aca="false">PRODUCT(IF(B85=1,0.8,1-0.8),IF(A85=1,0.8,1-0.8),
          IF(C85=1,0.8,1-0.8),
          IF(D85=1,0.8,1-0.8),
          IF(E85=1,0.8,1-0.8),
          IF(F85=1,0.8,1-0.8),
          IF(G85=1,0.8,1-0.8)) * M85</f>
        <v>0.000819199999999999</v>
      </c>
      <c r="L85" s="6" t="n">
        <f aca="false">PRODUCT(IF(B85=1,0.9,1-0.9), IF(A85=1,0.9,1-0.9),
          IF(C85=1,0.9,1-0.9),
          IF(D85=1,0.9,1-0.9),
          IF(E85=1,0.9,1-0.9),
          IF(F85=1,0.9,1-0.9),
          IF(G85=1,0.9,1-0.9)) * M85</f>
        <v>7.28999999999999E-005</v>
      </c>
      <c r="M85" s="2" t="n">
        <f aca="false">IF(C85=1,1,IF(AND(B85=1,A85=1,G85=1,D85=1),1,IF(AND(B85=1,A85=1,F85=1,D85=1,E85=1)
,1,0)))</f>
        <v>1</v>
      </c>
    </row>
    <row r="86" customFormat="false" ht="14.25" hidden="false" customHeight="false" outlineLevel="0" collapsed="false">
      <c r="A86" s="2" t="n">
        <v>1</v>
      </c>
      <c r="B86" s="2" t="n">
        <v>0</v>
      </c>
      <c r="C86" s="2" t="n">
        <v>1</v>
      </c>
      <c r="D86" s="2" t="n">
        <v>0</v>
      </c>
      <c r="E86" s="2" t="n">
        <v>0</v>
      </c>
      <c r="F86" s="2" t="n">
        <v>1</v>
      </c>
      <c r="G86" s="2" t="n">
        <v>0</v>
      </c>
      <c r="H86" s="1" t="n">
        <f aca="false"> ((($A86*$A$2)+(1-$A$2)*(1-$A86))* (($B86*$B$2)+(1-$B$2)*(1-$B86)) *(($C86*$C$2)+(1-
$C$2)*(1-$C86))* (($D86*$D$2)+(1-$D$2)*(1-$D86))* (($E86*$E$2)+(1-$E$2)*(1-$E86))*
(($F86*$F$2)+(1-$F$2)*(1-$F86))* (($G86*$G$2)+(1-$G$2)*(1-$G86)))*$M86</f>
        <v>0.0027783</v>
      </c>
      <c r="I86" s="6" t="n">
        <f aca="false">PRODUCT(IF(B86=1,0.6,1-0.6), IF(A86=1,0.6,1-0.6),
        IF(C86=1,0.6,1-0.6),
        IF(D86=1,0.6,1-0.6),
        IF(E86=1,0.6,1-0.6),
        IF(F86=1,0.6,1-0.6),
        IF(G86=1,0.6,1-0.6)) * M86</f>
        <v>0.0055296</v>
      </c>
      <c r="J86" s="6" t="n">
        <f aca="false">PRODUCT(IF(B86=1,0.7,1-0.7), IF(A86=1,0.7,1-0.7),
          IF(C86=1,0.7,1-0.7),
          IF(D86=1,0.7,1-0.7),
          IF(E86=1,0.7,1-0.7),
          IF(F86=1,0.7,1-0.7),
          IF(G86=1,0.7,1-0.7)) * M86</f>
        <v>0.0027783</v>
      </c>
      <c r="K86" s="6" t="n">
        <f aca="false">PRODUCT(IF(B86=1,0.8,1-0.8),IF(A86=1,0.8,1-0.8),
          IF(C86=1,0.8,1-0.8),
          IF(D86=1,0.8,1-0.8),
          IF(E86=1,0.8,1-0.8),
          IF(F86=1,0.8,1-0.8),
          IF(G86=1,0.8,1-0.8)) * M86</f>
        <v>0.000819199999999999</v>
      </c>
      <c r="L86" s="6" t="n">
        <f aca="false">PRODUCT(IF(B86=1,0.9,1-0.9), IF(A86=1,0.9,1-0.9),
          IF(C86=1,0.9,1-0.9),
          IF(D86=1,0.9,1-0.9),
          IF(E86=1,0.9,1-0.9),
          IF(F86=1,0.9,1-0.9),
          IF(G86=1,0.9,1-0.9)) * M86</f>
        <v>7.28999999999999E-005</v>
      </c>
      <c r="M86" s="2" t="n">
        <f aca="false">IF(C86=1,1,IF(AND(B86=1,A86=1,G86=1,D86=1),1,IF(AND(B86=1,A86=1,F86=1,D86=1,E86=1)
,1,0)))</f>
        <v>1</v>
      </c>
    </row>
    <row r="87" customFormat="false" ht="14.25" hidden="false" customHeight="false" outlineLevel="0" collapsed="false">
      <c r="A87" s="2" t="n">
        <v>1</v>
      </c>
      <c r="B87" s="2" t="n">
        <v>0</v>
      </c>
      <c r="C87" s="2" t="n">
        <v>1</v>
      </c>
      <c r="D87" s="2" t="n">
        <v>0</v>
      </c>
      <c r="E87" s="2" t="n">
        <v>0</v>
      </c>
      <c r="F87" s="2" t="n">
        <v>1</v>
      </c>
      <c r="G87" s="2" t="n">
        <v>1</v>
      </c>
      <c r="H87" s="1" t="n">
        <f aca="false"> ((($A87*$A$2)+(1-$A$2)*(1-$A87))* (($B87*$B$2)+(1-$B$2)*(1-$B87)) *(($C87*$C$2)+(1-
$C$2)*(1-$C87))* (($D87*$D$2)+(1-$D$2)*(1-$D87))* (($E87*$E$2)+(1-$E$2)*(1-$E87))*
(($F87*$F$2)+(1-$F$2)*(1-$F87))* (($G87*$G$2)+(1-$G$2)*(1-$G87)))*$M87</f>
        <v>0.0064827</v>
      </c>
      <c r="I87" s="6" t="n">
        <f aca="false">PRODUCT(IF(B87=1,0.6,1-0.6), IF(A87=1,0.6,1-0.6),
        IF(C87=1,0.6,1-0.6),
        IF(D87=1,0.6,1-0.6),
        IF(E87=1,0.6,1-0.6),
        IF(F87=1,0.6,1-0.6),
        IF(G87=1,0.6,1-0.6)) * M87</f>
        <v>0.0082944</v>
      </c>
      <c r="J87" s="6" t="n">
        <f aca="false">PRODUCT(IF(B87=1,0.7,1-0.7), IF(A87=1,0.7,1-0.7),
          IF(C87=1,0.7,1-0.7),
          IF(D87=1,0.7,1-0.7),
          IF(E87=1,0.7,1-0.7),
          IF(F87=1,0.7,1-0.7),
          IF(G87=1,0.7,1-0.7)) * M87</f>
        <v>0.0064827</v>
      </c>
      <c r="K87" s="6" t="n">
        <f aca="false">PRODUCT(IF(B87=1,0.8,1-0.8),IF(A87=1,0.8,1-0.8),
          IF(C87=1,0.8,1-0.8),
          IF(D87=1,0.8,1-0.8),
          IF(E87=1,0.8,1-0.8),
          IF(F87=1,0.8,1-0.8),
          IF(G87=1,0.8,1-0.8)) * M87</f>
        <v>0.0032768</v>
      </c>
      <c r="L87" s="6" t="n">
        <f aca="false">PRODUCT(IF(B87=1,0.9,1-0.9), IF(A87=1,0.9,1-0.9),
          IF(C87=1,0.9,1-0.9),
          IF(D87=1,0.9,1-0.9),
          IF(E87=1,0.9,1-0.9),
          IF(F87=1,0.9,1-0.9),
          IF(G87=1,0.9,1-0.9)) * M87</f>
        <v>0.0006561</v>
      </c>
      <c r="M87" s="2" t="n">
        <f aca="false">IF(C87=1,1,IF(AND(B87=1,A87=1,G87=1,D87=1),1,IF(AND(B87=1,A87=1,F87=1,D87=1,E87=1)
,1,0)))</f>
        <v>1</v>
      </c>
    </row>
    <row r="88" customFormat="false" ht="14.25" hidden="false" customHeight="false" outlineLevel="0" collapsed="false">
      <c r="A88" s="2" t="n">
        <v>1</v>
      </c>
      <c r="B88" s="2" t="n">
        <v>0</v>
      </c>
      <c r="C88" s="2" t="n">
        <v>1</v>
      </c>
      <c r="D88" s="2" t="n">
        <v>0</v>
      </c>
      <c r="E88" s="2" t="n">
        <v>1</v>
      </c>
      <c r="F88" s="2" t="n">
        <v>0</v>
      </c>
      <c r="G88" s="2" t="n">
        <v>0</v>
      </c>
      <c r="H88" s="1" t="n">
        <f aca="false"> ((($A88*$A$2)+(1-$A$2)*(1-$A88))* (($B88*$B$2)+(1-$B$2)*(1-$B88)) *(($C88*$C$2)+(1-
$C$2)*(1-$C88))* (($D88*$D$2)+(1-$D$2)*(1-$D88))* (($E88*$E$2)+(1-$E$2)*(1-$E88))*
(($F88*$F$2)+(1-$F$2)*(1-$F88))* (($G88*$G$2)+(1-$G$2)*(1-$G88)))*$M88</f>
        <v>0.0027783</v>
      </c>
      <c r="I88" s="6" t="n">
        <f aca="false">PRODUCT(IF(B88=1,0.6,1-0.6), IF(A88=1,0.6,1-0.6),
        IF(C88=1,0.6,1-0.6),
        IF(D88=1,0.6,1-0.6),
        IF(E88=1,0.6,1-0.6),
        IF(F88=1,0.6,1-0.6),
        IF(G88=1,0.6,1-0.6)) * M88</f>
        <v>0.0055296</v>
      </c>
      <c r="J88" s="6" t="n">
        <f aca="false">PRODUCT(IF(B88=1,0.7,1-0.7), IF(A88=1,0.7,1-0.7),
          IF(C88=1,0.7,1-0.7),
          IF(D88=1,0.7,1-0.7),
          IF(E88=1,0.7,1-0.7),
          IF(F88=1,0.7,1-0.7),
          IF(G88=1,0.7,1-0.7)) * M88</f>
        <v>0.0027783</v>
      </c>
      <c r="K88" s="6" t="n">
        <f aca="false">PRODUCT(IF(B88=1,0.8,1-0.8),IF(A88=1,0.8,1-0.8),
          IF(C88=1,0.8,1-0.8),
          IF(D88=1,0.8,1-0.8),
          IF(E88=1,0.8,1-0.8),
          IF(F88=1,0.8,1-0.8),
          IF(G88=1,0.8,1-0.8)) * M88</f>
        <v>0.000819199999999999</v>
      </c>
      <c r="L88" s="6" t="n">
        <f aca="false">PRODUCT(IF(B88=1,0.9,1-0.9), IF(A88=1,0.9,1-0.9),
          IF(C88=1,0.9,1-0.9),
          IF(D88=1,0.9,1-0.9),
          IF(E88=1,0.9,1-0.9),
          IF(F88=1,0.9,1-0.9),
          IF(G88=1,0.9,1-0.9)) * M88</f>
        <v>7.28999999999999E-005</v>
      </c>
      <c r="M88" s="2" t="n">
        <f aca="false">IF(C88=1,1,IF(AND(B88=1,A88=1,G88=1,D88=1),1,IF(AND(B88=1,A88=1,F88=1,D88=1,E88=1)
,1,0)))</f>
        <v>1</v>
      </c>
    </row>
    <row r="89" customFormat="false" ht="14.25" hidden="false" customHeight="false" outlineLevel="0" collapsed="false">
      <c r="A89" s="2" t="n">
        <v>1</v>
      </c>
      <c r="B89" s="2" t="n">
        <v>0</v>
      </c>
      <c r="C89" s="2" t="n">
        <v>1</v>
      </c>
      <c r="D89" s="2" t="n">
        <v>0</v>
      </c>
      <c r="E89" s="2" t="n">
        <v>1</v>
      </c>
      <c r="F89" s="2" t="n">
        <v>0</v>
      </c>
      <c r="G89" s="2" t="n">
        <v>1</v>
      </c>
      <c r="H89" s="1" t="n">
        <f aca="false"> ((($A89*$A$2)+(1-$A$2)*(1-$A89))* (($B89*$B$2)+(1-$B$2)*(1-$B89)) *(($C89*$C$2)+(1-
$C$2)*(1-$C89))* (($D89*$D$2)+(1-$D$2)*(1-$D89))* (($E89*$E$2)+(1-$E$2)*(1-$E89))*
(($F89*$F$2)+(1-$F$2)*(1-$F89))* (($G89*$G$2)+(1-$G$2)*(1-$G89)))*$M89</f>
        <v>0.0064827</v>
      </c>
      <c r="I89" s="6" t="n">
        <f aca="false">PRODUCT(IF(B89=1,0.6,1-0.6), IF(A89=1,0.6,1-0.6),
        IF(C89=1,0.6,1-0.6),
        IF(D89=1,0.6,1-0.6),
        IF(E89=1,0.6,1-0.6),
        IF(F89=1,0.6,1-0.6),
        IF(G89=1,0.6,1-0.6)) * M89</f>
        <v>0.0082944</v>
      </c>
      <c r="J89" s="6" t="n">
        <f aca="false">PRODUCT(IF(B89=1,0.7,1-0.7), IF(A89=1,0.7,1-0.7),
          IF(C89=1,0.7,1-0.7),
          IF(D89=1,0.7,1-0.7),
          IF(E89=1,0.7,1-0.7),
          IF(F89=1,0.7,1-0.7),
          IF(G89=1,0.7,1-0.7)) * M89</f>
        <v>0.0064827</v>
      </c>
      <c r="K89" s="6" t="n">
        <f aca="false">PRODUCT(IF(B89=1,0.8,1-0.8),IF(A89=1,0.8,1-0.8),
          IF(C89=1,0.8,1-0.8),
          IF(D89=1,0.8,1-0.8),
          IF(E89=1,0.8,1-0.8),
          IF(F89=1,0.8,1-0.8),
          IF(G89=1,0.8,1-0.8)) * M89</f>
        <v>0.0032768</v>
      </c>
      <c r="L89" s="6" t="n">
        <f aca="false">PRODUCT(IF(B89=1,0.9,1-0.9), IF(A89=1,0.9,1-0.9),
          IF(C89=1,0.9,1-0.9),
          IF(D89=1,0.9,1-0.9),
          IF(E89=1,0.9,1-0.9),
          IF(F89=1,0.9,1-0.9),
          IF(G89=1,0.9,1-0.9)) * M89</f>
        <v>0.0006561</v>
      </c>
      <c r="M89" s="2" t="n">
        <f aca="false">IF(C89=1,1,IF(AND(B89=1,A89=1,G89=1,D89=1),1,IF(AND(B89=1,A89=1,F89=1,D89=1,E89=1)
,1,0)))</f>
        <v>1</v>
      </c>
    </row>
    <row r="90" customFormat="false" ht="14.25" hidden="false" customHeight="false" outlineLevel="0" collapsed="false">
      <c r="A90" s="2" t="n">
        <v>1</v>
      </c>
      <c r="B90" s="2" t="n">
        <v>0</v>
      </c>
      <c r="C90" s="2" t="n">
        <v>1</v>
      </c>
      <c r="D90" s="2" t="n">
        <v>0</v>
      </c>
      <c r="E90" s="2" t="n">
        <v>1</v>
      </c>
      <c r="F90" s="2" t="n">
        <v>1</v>
      </c>
      <c r="G90" s="2" t="n">
        <v>0</v>
      </c>
      <c r="H90" s="1" t="n">
        <f aca="false"> ((($A90*$A$2)+(1-$A$2)*(1-$A90))* (($B90*$B$2)+(1-$B$2)*(1-$B90)) *(($C90*$C$2)+(1-
$C$2)*(1-$C90))* (($D90*$D$2)+(1-$D$2)*(1-$D90))* (($E90*$E$2)+(1-$E$2)*(1-$E90))*
(($F90*$F$2)+(1-$F$2)*(1-$F90))* (($G90*$G$2)+(1-$G$2)*(1-$G90)))*$M90</f>
        <v>0.0064827</v>
      </c>
      <c r="I90" s="6" t="n">
        <f aca="false">PRODUCT(IF(B90=1,0.6,1-0.6), IF(A90=1,0.6,1-0.6),
        IF(C90=1,0.6,1-0.6),
        IF(D90=1,0.6,1-0.6),
        IF(E90=1,0.6,1-0.6),
        IF(F90=1,0.6,1-0.6),
        IF(G90=1,0.6,1-0.6)) * M90</f>
        <v>0.0082944</v>
      </c>
      <c r="J90" s="6" t="n">
        <f aca="false">PRODUCT(IF(B90=1,0.7,1-0.7), IF(A90=1,0.7,1-0.7),
          IF(C90=1,0.7,1-0.7),
          IF(D90=1,0.7,1-0.7),
          IF(E90=1,0.7,1-0.7),
          IF(F90=1,0.7,1-0.7),
          IF(G90=1,0.7,1-0.7)) * M90</f>
        <v>0.0064827</v>
      </c>
      <c r="K90" s="6" t="n">
        <f aca="false">PRODUCT(IF(B90=1,0.8,1-0.8),IF(A90=1,0.8,1-0.8),
          IF(C90=1,0.8,1-0.8),
          IF(D90=1,0.8,1-0.8),
          IF(E90=1,0.8,1-0.8),
          IF(F90=1,0.8,1-0.8),
          IF(G90=1,0.8,1-0.8)) * M90</f>
        <v>0.0032768</v>
      </c>
      <c r="L90" s="6" t="n">
        <f aca="false">PRODUCT(IF(B90=1,0.9,1-0.9), IF(A90=1,0.9,1-0.9),
          IF(C90=1,0.9,1-0.9),
          IF(D90=1,0.9,1-0.9),
          IF(E90=1,0.9,1-0.9),
          IF(F90=1,0.9,1-0.9),
          IF(G90=1,0.9,1-0.9)) * M90</f>
        <v>0.0006561</v>
      </c>
      <c r="M90" s="2" t="n">
        <f aca="false">IF(C90=1,1,IF(AND(B90=1,A90=1,G90=1,D90=1),1,IF(AND(B90=1,A90=1,F90=1,D90=1,E90=1)
,1,0)))</f>
        <v>1</v>
      </c>
    </row>
    <row r="91" customFormat="false" ht="14.25" hidden="false" customHeight="false" outlineLevel="0" collapsed="false">
      <c r="A91" s="2" t="n">
        <v>1</v>
      </c>
      <c r="B91" s="2" t="n">
        <v>0</v>
      </c>
      <c r="C91" s="2" t="n">
        <v>1</v>
      </c>
      <c r="D91" s="2" t="n">
        <v>0</v>
      </c>
      <c r="E91" s="2" t="n">
        <v>1</v>
      </c>
      <c r="F91" s="2" t="n">
        <v>1</v>
      </c>
      <c r="G91" s="2" t="n">
        <v>1</v>
      </c>
      <c r="H91" s="1" t="n">
        <f aca="false"> ((($A91*$A$2)+(1-$A$2)*(1-$A91))* (($B91*$B$2)+(1-$B$2)*(1-$B91)) *(($C91*$C$2)+(1-
$C$2)*(1-$C91))* (($D91*$D$2)+(1-$D$2)*(1-$D91))* (($E91*$E$2)+(1-$E$2)*(1-$E91))*
(($F91*$F$2)+(1-$F$2)*(1-$F91))* (($G91*$G$2)+(1-$G$2)*(1-$G91)))*$M91</f>
        <v>0.0151263</v>
      </c>
      <c r="I91" s="6" t="n">
        <f aca="false">PRODUCT(IF(B91=1,0.6,1-0.6), IF(A91=1,0.6,1-0.6),
        IF(C91=1,0.6,1-0.6),
        IF(D91=1,0.6,1-0.6),
        IF(E91=1,0.6,1-0.6),
        IF(F91=1,0.6,1-0.6),
        IF(G91=1,0.6,1-0.6)) * M91</f>
        <v>0.0124416</v>
      </c>
      <c r="J91" s="6" t="n">
        <f aca="false">PRODUCT(IF(B91=1,0.7,1-0.7), IF(A91=1,0.7,1-0.7),
          IF(C91=1,0.7,1-0.7),
          IF(D91=1,0.7,1-0.7),
          IF(E91=1,0.7,1-0.7),
          IF(F91=1,0.7,1-0.7),
          IF(G91=1,0.7,1-0.7)) * M91</f>
        <v>0.0151263</v>
      </c>
      <c r="K91" s="6" t="n">
        <f aca="false">PRODUCT(IF(B91=1,0.8,1-0.8),IF(A91=1,0.8,1-0.8),
          IF(C91=1,0.8,1-0.8),
          IF(D91=1,0.8,1-0.8),
          IF(E91=1,0.8,1-0.8),
          IF(F91=1,0.8,1-0.8),
          IF(G91=1,0.8,1-0.8)) * M91</f>
        <v>0.0131072</v>
      </c>
      <c r="L91" s="6" t="n">
        <f aca="false">PRODUCT(IF(B91=1,0.9,1-0.9), IF(A91=1,0.9,1-0.9),
          IF(C91=1,0.9,1-0.9),
          IF(D91=1,0.9,1-0.9),
          IF(E91=1,0.9,1-0.9),
          IF(F91=1,0.9,1-0.9),
          IF(G91=1,0.9,1-0.9)) * M91</f>
        <v>0.0059049</v>
      </c>
      <c r="M91" s="2" t="n">
        <f aca="false">IF(C91=1,1,IF(AND(B91=1,A91=1,G91=1,D91=1),1,IF(AND(B91=1,A91=1,F91=1,D91=1,E91=1)
,1,0)))</f>
        <v>1</v>
      </c>
    </row>
    <row r="92" customFormat="false" ht="14.25" hidden="false" customHeight="false" outlineLevel="0" collapsed="false">
      <c r="A92" s="2" t="n">
        <v>1</v>
      </c>
      <c r="B92" s="2" t="n">
        <v>0</v>
      </c>
      <c r="C92" s="2" t="n">
        <v>1</v>
      </c>
      <c r="D92" s="2" t="n">
        <v>1</v>
      </c>
      <c r="E92" s="2" t="n">
        <v>0</v>
      </c>
      <c r="F92" s="2" t="n">
        <v>0</v>
      </c>
      <c r="G92" s="2" t="n">
        <v>0</v>
      </c>
      <c r="H92" s="1" t="n">
        <f aca="false"> ((($A92*$A$2)+(1-$A$2)*(1-$A92))* (($B92*$B$2)+(1-$B$2)*(1-$B92)) *(($C92*$C$2)+(1-
$C$2)*(1-$C92))* (($D92*$D$2)+(1-$D$2)*(1-$D92))* (($E92*$E$2)+(1-$E$2)*(1-$E92))*
(($F92*$F$2)+(1-$F$2)*(1-$F92))* (($G92*$G$2)+(1-$G$2)*(1-$G92)))*$M92</f>
        <v>0.0027783</v>
      </c>
      <c r="I92" s="6" t="n">
        <f aca="false">PRODUCT(IF(B92=1,0.6,1-0.6), IF(A92=1,0.6,1-0.6),
        IF(C92=1,0.6,1-0.6),
        IF(D92=1,0.6,1-0.6),
        IF(E92=1,0.6,1-0.6),
        IF(F92=1,0.6,1-0.6),
        IF(G92=1,0.6,1-0.6)) * M92</f>
        <v>0.0055296</v>
      </c>
      <c r="J92" s="6" t="n">
        <f aca="false">PRODUCT(IF(B92=1,0.7,1-0.7), IF(A92=1,0.7,1-0.7),
          IF(C92=1,0.7,1-0.7),
          IF(D92=1,0.7,1-0.7),
          IF(E92=1,0.7,1-0.7),
          IF(F92=1,0.7,1-0.7),
          IF(G92=1,0.7,1-0.7)) * M92</f>
        <v>0.0027783</v>
      </c>
      <c r="K92" s="6" t="n">
        <f aca="false">PRODUCT(IF(B92=1,0.8,1-0.8),IF(A92=1,0.8,1-0.8),
          IF(C92=1,0.8,1-0.8),
          IF(D92=1,0.8,1-0.8),
          IF(E92=1,0.8,1-0.8),
          IF(F92=1,0.8,1-0.8),
          IF(G92=1,0.8,1-0.8)) * M92</f>
        <v>0.000819199999999999</v>
      </c>
      <c r="L92" s="6" t="n">
        <f aca="false">PRODUCT(IF(B92=1,0.9,1-0.9), IF(A92=1,0.9,1-0.9),
          IF(C92=1,0.9,1-0.9),
          IF(D92=1,0.9,1-0.9),
          IF(E92=1,0.9,1-0.9),
          IF(F92=1,0.9,1-0.9),
          IF(G92=1,0.9,1-0.9)) * M92</f>
        <v>7.28999999999999E-005</v>
      </c>
      <c r="M92" s="2" t="n">
        <f aca="false">IF(C92=1,1,IF(AND(B92=1,A92=1,G92=1,D92=1),1,IF(AND(B92=1,A92=1,F92=1,D92=1,E92=1)
,1,0)))</f>
        <v>1</v>
      </c>
    </row>
    <row r="93" customFormat="false" ht="14.25" hidden="false" customHeight="false" outlineLevel="0" collapsed="false">
      <c r="A93" s="2" t="n">
        <v>1</v>
      </c>
      <c r="B93" s="2" t="n">
        <v>0</v>
      </c>
      <c r="C93" s="2" t="n">
        <v>1</v>
      </c>
      <c r="D93" s="2" t="n">
        <v>1</v>
      </c>
      <c r="E93" s="2" t="n">
        <v>0</v>
      </c>
      <c r="F93" s="2" t="n">
        <v>0</v>
      </c>
      <c r="G93" s="2" t="n">
        <v>1</v>
      </c>
      <c r="H93" s="1" t="n">
        <f aca="false"> ((($A93*$A$2)+(1-$A$2)*(1-$A93))* (($B93*$B$2)+(1-$B$2)*(1-$B93)) *(($C93*$C$2)+(1-
$C$2)*(1-$C93))* (($D93*$D$2)+(1-$D$2)*(1-$D93))* (($E93*$E$2)+(1-$E$2)*(1-$E93))*
(($F93*$F$2)+(1-$F$2)*(1-$F93))* (($G93*$G$2)+(1-$G$2)*(1-$G93)))*$M93</f>
        <v>0.0064827</v>
      </c>
      <c r="I93" s="6" t="n">
        <f aca="false">PRODUCT(IF(B93=1,0.6,1-0.6), IF(A93=1,0.6,1-0.6),
        IF(C93=1,0.6,1-0.6),
        IF(D93=1,0.6,1-0.6),
        IF(E93=1,0.6,1-0.6),
        IF(F93=1,0.6,1-0.6),
        IF(G93=1,0.6,1-0.6)) * M93</f>
        <v>0.0082944</v>
      </c>
      <c r="J93" s="6" t="n">
        <f aca="false">PRODUCT(IF(B93=1,0.7,1-0.7), IF(A93=1,0.7,1-0.7),
          IF(C93=1,0.7,1-0.7),
          IF(D93=1,0.7,1-0.7),
          IF(E93=1,0.7,1-0.7),
          IF(F93=1,0.7,1-0.7),
          IF(G93=1,0.7,1-0.7)) * M93</f>
        <v>0.0064827</v>
      </c>
      <c r="K93" s="6" t="n">
        <f aca="false">PRODUCT(IF(B93=1,0.8,1-0.8),IF(A93=1,0.8,1-0.8),
          IF(C93=1,0.8,1-0.8),
          IF(D93=1,0.8,1-0.8),
          IF(E93=1,0.8,1-0.8),
          IF(F93=1,0.8,1-0.8),
          IF(G93=1,0.8,1-0.8)) * M93</f>
        <v>0.0032768</v>
      </c>
      <c r="L93" s="6" t="n">
        <f aca="false">PRODUCT(IF(B93=1,0.9,1-0.9), IF(A93=1,0.9,1-0.9),
          IF(C93=1,0.9,1-0.9),
          IF(D93=1,0.9,1-0.9),
          IF(E93=1,0.9,1-0.9),
          IF(F93=1,0.9,1-0.9),
          IF(G93=1,0.9,1-0.9)) * M93</f>
        <v>0.0006561</v>
      </c>
      <c r="M93" s="2" t="n">
        <f aca="false">IF(C93=1,1,IF(AND(B93=1,A93=1,G93=1,D93=1),1,IF(AND(B93=1,A93=1,F93=1,D93=1,E93=1)
,1,0)))</f>
        <v>1</v>
      </c>
    </row>
    <row r="94" customFormat="false" ht="14.25" hidden="false" customHeight="false" outlineLevel="0" collapsed="false">
      <c r="A94" s="2" t="n">
        <v>1</v>
      </c>
      <c r="B94" s="2" t="n">
        <v>0</v>
      </c>
      <c r="C94" s="2" t="n">
        <v>1</v>
      </c>
      <c r="D94" s="2" t="n">
        <v>1</v>
      </c>
      <c r="E94" s="2" t="n">
        <v>0</v>
      </c>
      <c r="F94" s="2" t="n">
        <v>1</v>
      </c>
      <c r="G94" s="2" t="n">
        <v>0</v>
      </c>
      <c r="H94" s="1" t="n">
        <f aca="false"> ((($A94*$A$2)+(1-$A$2)*(1-$A94))* (($B94*$B$2)+(1-$B$2)*(1-$B94)) *(($C94*$C$2)+(1-
$C$2)*(1-$C94))* (($D94*$D$2)+(1-$D$2)*(1-$D94))* (($E94*$E$2)+(1-$E$2)*(1-$E94))*
(($F94*$F$2)+(1-$F$2)*(1-$F94))* (($G94*$G$2)+(1-$G$2)*(1-$G94)))*$M94</f>
        <v>0.0064827</v>
      </c>
      <c r="I94" s="6" t="n">
        <f aca="false">PRODUCT(IF(B94=1,0.6,1-0.6), IF(A94=1,0.6,1-0.6),
        IF(C94=1,0.6,1-0.6),
        IF(D94=1,0.6,1-0.6),
        IF(E94=1,0.6,1-0.6),
        IF(F94=1,0.6,1-0.6),
        IF(G94=1,0.6,1-0.6)) * M94</f>
        <v>0.0082944</v>
      </c>
      <c r="J94" s="6" t="n">
        <f aca="false">PRODUCT(IF(B94=1,0.7,1-0.7), IF(A94=1,0.7,1-0.7),
          IF(C94=1,0.7,1-0.7),
          IF(D94=1,0.7,1-0.7),
          IF(E94=1,0.7,1-0.7),
          IF(F94=1,0.7,1-0.7),
          IF(G94=1,0.7,1-0.7)) * M94</f>
        <v>0.0064827</v>
      </c>
      <c r="K94" s="6" t="n">
        <f aca="false">PRODUCT(IF(B94=1,0.8,1-0.8),IF(A94=1,0.8,1-0.8),
          IF(C94=1,0.8,1-0.8),
          IF(D94=1,0.8,1-0.8),
          IF(E94=1,0.8,1-0.8),
          IF(F94=1,0.8,1-0.8),
          IF(G94=1,0.8,1-0.8)) * M94</f>
        <v>0.0032768</v>
      </c>
      <c r="L94" s="6" t="n">
        <f aca="false">PRODUCT(IF(B94=1,0.9,1-0.9), IF(A94=1,0.9,1-0.9),
          IF(C94=1,0.9,1-0.9),
          IF(D94=1,0.9,1-0.9),
          IF(E94=1,0.9,1-0.9),
          IF(F94=1,0.9,1-0.9),
          IF(G94=1,0.9,1-0.9)) * M94</f>
        <v>0.0006561</v>
      </c>
      <c r="M94" s="2" t="n">
        <f aca="false">IF(C94=1,1,IF(AND(B94=1,A94=1,G94=1,D94=1),1,IF(AND(B94=1,A94=1,F94=1,D94=1,E94=1)
,1,0)))</f>
        <v>1</v>
      </c>
    </row>
    <row r="95" customFormat="false" ht="14.25" hidden="false" customHeight="false" outlineLevel="0" collapsed="false">
      <c r="A95" s="2" t="n">
        <v>1</v>
      </c>
      <c r="B95" s="2" t="n">
        <v>0</v>
      </c>
      <c r="C95" s="2" t="n">
        <v>1</v>
      </c>
      <c r="D95" s="2" t="n">
        <v>1</v>
      </c>
      <c r="E95" s="2" t="n">
        <v>0</v>
      </c>
      <c r="F95" s="2" t="n">
        <v>1</v>
      </c>
      <c r="G95" s="2" t="n">
        <v>1</v>
      </c>
      <c r="H95" s="1" t="n">
        <f aca="false"> ((($A95*$A$2)+(1-$A$2)*(1-$A95))* (($B95*$B$2)+(1-$B$2)*(1-$B95)) *(($C95*$C$2)+(1-
$C$2)*(1-$C95))* (($D95*$D$2)+(1-$D$2)*(1-$D95))* (($E95*$E$2)+(1-$E$2)*(1-$E95))*
(($F95*$F$2)+(1-$F$2)*(1-$F95))* (($G95*$G$2)+(1-$G$2)*(1-$G95)))*$M95</f>
        <v>0.0151263</v>
      </c>
      <c r="I95" s="6" t="n">
        <f aca="false">PRODUCT(IF(B95=1,0.6,1-0.6), IF(A95=1,0.6,1-0.6),
        IF(C95=1,0.6,1-0.6),
        IF(D95=1,0.6,1-0.6),
        IF(E95=1,0.6,1-0.6),
        IF(F95=1,0.6,1-0.6),
        IF(G95=1,0.6,1-0.6)) * M95</f>
        <v>0.0124416</v>
      </c>
      <c r="J95" s="6" t="n">
        <f aca="false">PRODUCT(IF(B95=1,0.7,1-0.7), IF(A95=1,0.7,1-0.7),
          IF(C95=1,0.7,1-0.7),
          IF(D95=1,0.7,1-0.7),
          IF(E95=1,0.7,1-0.7),
          IF(F95=1,0.7,1-0.7),
          IF(G95=1,0.7,1-0.7)) * M95</f>
        <v>0.0151263</v>
      </c>
      <c r="K95" s="6" t="n">
        <f aca="false">PRODUCT(IF(B95=1,0.8,1-0.8),IF(A95=1,0.8,1-0.8),
          IF(C95=1,0.8,1-0.8),
          IF(D95=1,0.8,1-0.8),
          IF(E95=1,0.8,1-0.8),
          IF(F95=1,0.8,1-0.8),
          IF(G95=1,0.8,1-0.8)) * M95</f>
        <v>0.0131072</v>
      </c>
      <c r="L95" s="6" t="n">
        <f aca="false">PRODUCT(IF(B95=1,0.9,1-0.9), IF(A95=1,0.9,1-0.9),
          IF(C95=1,0.9,1-0.9),
          IF(D95=1,0.9,1-0.9),
          IF(E95=1,0.9,1-0.9),
          IF(F95=1,0.9,1-0.9),
          IF(G95=1,0.9,1-0.9)) * M95</f>
        <v>0.0059049</v>
      </c>
      <c r="M95" s="2" t="n">
        <f aca="false">IF(C95=1,1,IF(AND(B95=1,A95=1,G95=1,D95=1),1,IF(AND(B95=1,A95=1,F95=1,D95=1,E95=1)
,1,0)))</f>
        <v>1</v>
      </c>
    </row>
    <row r="96" customFormat="false" ht="14.25" hidden="false" customHeight="false" outlineLevel="0" collapsed="false">
      <c r="A96" s="2" t="n">
        <v>1</v>
      </c>
      <c r="B96" s="2" t="n">
        <v>0</v>
      </c>
      <c r="C96" s="2" t="n">
        <v>1</v>
      </c>
      <c r="D96" s="2" t="n">
        <v>1</v>
      </c>
      <c r="E96" s="2" t="n">
        <v>1</v>
      </c>
      <c r="F96" s="2" t="n">
        <v>0</v>
      </c>
      <c r="G96" s="2" t="n">
        <v>0</v>
      </c>
      <c r="H96" s="1" t="n">
        <f aca="false"> ((($A96*$A$2)+(1-$A$2)*(1-$A96))* (($B96*$B$2)+(1-$B$2)*(1-$B96)) *(($C96*$C$2)+(1-
$C$2)*(1-$C96))* (($D96*$D$2)+(1-$D$2)*(1-$D96))* (($E96*$E$2)+(1-$E$2)*(1-$E96))*
(($F96*$F$2)+(1-$F$2)*(1-$F96))* (($G96*$G$2)+(1-$G$2)*(1-$G96)))*$M96</f>
        <v>0.0064827</v>
      </c>
      <c r="I96" s="6" t="n">
        <f aca="false">PRODUCT(IF(B96=1,0.6,1-0.6), IF(A96=1,0.6,1-0.6),
        IF(C96=1,0.6,1-0.6),
        IF(D96=1,0.6,1-0.6),
        IF(E96=1,0.6,1-0.6),
        IF(F96=1,0.6,1-0.6),
        IF(G96=1,0.6,1-0.6)) * M96</f>
        <v>0.0082944</v>
      </c>
      <c r="J96" s="6" t="n">
        <f aca="false">PRODUCT(IF(B96=1,0.7,1-0.7), IF(A96=1,0.7,1-0.7),
          IF(C96=1,0.7,1-0.7),
          IF(D96=1,0.7,1-0.7),
          IF(E96=1,0.7,1-0.7),
          IF(F96=1,0.7,1-0.7),
          IF(G96=1,0.7,1-0.7)) * M96</f>
        <v>0.0064827</v>
      </c>
      <c r="K96" s="6" t="n">
        <f aca="false">PRODUCT(IF(B96=1,0.8,1-0.8),IF(A96=1,0.8,1-0.8),
          IF(C96=1,0.8,1-0.8),
          IF(D96=1,0.8,1-0.8),
          IF(E96=1,0.8,1-0.8),
          IF(F96=1,0.8,1-0.8),
          IF(G96=1,0.8,1-0.8)) * M96</f>
        <v>0.0032768</v>
      </c>
      <c r="L96" s="6" t="n">
        <f aca="false">PRODUCT(IF(B96=1,0.9,1-0.9), IF(A96=1,0.9,1-0.9),
          IF(C96=1,0.9,1-0.9),
          IF(D96=1,0.9,1-0.9),
          IF(E96=1,0.9,1-0.9),
          IF(F96=1,0.9,1-0.9),
          IF(G96=1,0.9,1-0.9)) * M96</f>
        <v>0.0006561</v>
      </c>
      <c r="M96" s="2" t="n">
        <f aca="false">IF(C96=1,1,IF(AND(B96=1,A96=1,G96=1,D96=1),1,IF(AND(B96=1,A96=1,F96=1,D96=1,E96=1)
,1,0)))</f>
        <v>1</v>
      </c>
    </row>
    <row r="97" customFormat="false" ht="14.25" hidden="false" customHeight="false" outlineLevel="0" collapsed="false">
      <c r="A97" s="2" t="n">
        <v>1</v>
      </c>
      <c r="B97" s="2" t="n">
        <v>0</v>
      </c>
      <c r="C97" s="2" t="n">
        <v>1</v>
      </c>
      <c r="D97" s="2" t="n">
        <v>1</v>
      </c>
      <c r="E97" s="2" t="n">
        <v>1</v>
      </c>
      <c r="F97" s="2" t="n">
        <v>0</v>
      </c>
      <c r="G97" s="2" t="n">
        <v>1</v>
      </c>
      <c r="H97" s="1" t="n">
        <f aca="false"> ((($A97*$A$2)+(1-$A$2)*(1-$A97))* (($B97*$B$2)+(1-$B$2)*(1-$B97)) *(($C97*$C$2)+(1-
$C$2)*(1-$C97))* (($D97*$D$2)+(1-$D$2)*(1-$D97))* (($E97*$E$2)+(1-$E$2)*(1-$E97))*
(($F97*$F$2)+(1-$F$2)*(1-$F97))* (($G97*$G$2)+(1-$G$2)*(1-$G97)))*$M97</f>
        <v>0.0151263</v>
      </c>
      <c r="I97" s="6" t="n">
        <f aca="false">PRODUCT(IF(B97=1,0.6,1-0.6), IF(A97=1,0.6,1-0.6),
        IF(C97=1,0.6,1-0.6),
        IF(D97=1,0.6,1-0.6),
        IF(E97=1,0.6,1-0.6),
        IF(F97=1,0.6,1-0.6),
        IF(G97=1,0.6,1-0.6)) * M97</f>
        <v>0.0124416</v>
      </c>
      <c r="J97" s="6" t="n">
        <f aca="false">PRODUCT(IF(B97=1,0.7,1-0.7), IF(A97=1,0.7,1-0.7),
          IF(C97=1,0.7,1-0.7),
          IF(D97=1,0.7,1-0.7),
          IF(E97=1,0.7,1-0.7),
          IF(F97=1,0.7,1-0.7),
          IF(G97=1,0.7,1-0.7)) * M97</f>
        <v>0.0151263</v>
      </c>
      <c r="K97" s="6" t="n">
        <f aca="false">PRODUCT(IF(B97=1,0.8,1-0.8),IF(A97=1,0.8,1-0.8),
          IF(C97=1,0.8,1-0.8),
          IF(D97=1,0.8,1-0.8),
          IF(E97=1,0.8,1-0.8),
          IF(F97=1,0.8,1-0.8),
          IF(G97=1,0.8,1-0.8)) * M97</f>
        <v>0.0131072</v>
      </c>
      <c r="L97" s="6" t="n">
        <f aca="false">PRODUCT(IF(B97=1,0.9,1-0.9), IF(A97=1,0.9,1-0.9),
          IF(C97=1,0.9,1-0.9),
          IF(D97=1,0.9,1-0.9),
          IF(E97=1,0.9,1-0.9),
          IF(F97=1,0.9,1-0.9),
          IF(G97=1,0.9,1-0.9)) * M97</f>
        <v>0.0059049</v>
      </c>
      <c r="M97" s="2" t="n">
        <f aca="false">IF(C97=1,1,IF(AND(B97=1,A97=1,G97=1,D97=1),1,IF(AND(B97=1,A97=1,F97=1,D97=1,E97=1)
,1,0)))</f>
        <v>1</v>
      </c>
    </row>
    <row r="98" customFormat="false" ht="14.25" hidden="false" customHeight="false" outlineLevel="0" collapsed="false">
      <c r="A98" s="2" t="n">
        <v>1</v>
      </c>
      <c r="B98" s="2" t="n">
        <v>0</v>
      </c>
      <c r="C98" s="2" t="n">
        <v>1</v>
      </c>
      <c r="D98" s="2" t="n">
        <v>1</v>
      </c>
      <c r="E98" s="2" t="n">
        <v>1</v>
      </c>
      <c r="F98" s="2" t="n">
        <v>1</v>
      </c>
      <c r="G98" s="2" t="n">
        <v>0</v>
      </c>
      <c r="H98" s="1" t="n">
        <f aca="false"> ((($A98*$A$2)+(1-$A$2)*(1-$A98))* (($B98*$B$2)+(1-$B$2)*(1-$B98)) *(($C98*$C$2)+(1-
$C$2)*(1-$C98))* (($D98*$D$2)+(1-$D$2)*(1-$D98))* (($E98*$E$2)+(1-$E$2)*(1-$E98))*
(($F98*$F$2)+(1-$F$2)*(1-$F98))* (($G98*$G$2)+(1-$G$2)*(1-$G98)))*$M98</f>
        <v>0.0151263</v>
      </c>
      <c r="I98" s="6" t="n">
        <f aca="false">PRODUCT(IF(B98=1,0.6,1-0.6), IF(A98=1,0.6,1-0.6),
        IF(C98=1,0.6,1-0.6),
        IF(D98=1,0.6,1-0.6),
        IF(E98=1,0.6,1-0.6),
        IF(F98=1,0.6,1-0.6),
        IF(G98=1,0.6,1-0.6)) * M98</f>
        <v>0.0124416</v>
      </c>
      <c r="J98" s="6" t="n">
        <f aca="false">PRODUCT(IF(B98=1,0.7,1-0.7), IF(A98=1,0.7,1-0.7),
          IF(C98=1,0.7,1-0.7),
          IF(D98=1,0.7,1-0.7),
          IF(E98=1,0.7,1-0.7),
          IF(F98=1,0.7,1-0.7),
          IF(G98=1,0.7,1-0.7)) * M98</f>
        <v>0.0151263</v>
      </c>
      <c r="K98" s="6" t="n">
        <f aca="false">PRODUCT(IF(B98=1,0.8,1-0.8),IF(A98=1,0.8,1-0.8),
          IF(C98=1,0.8,1-0.8),
          IF(D98=1,0.8,1-0.8),
          IF(E98=1,0.8,1-0.8),
          IF(F98=1,0.8,1-0.8),
          IF(G98=1,0.8,1-0.8)) * M98</f>
        <v>0.0131072</v>
      </c>
      <c r="L98" s="6" t="n">
        <f aca="false">PRODUCT(IF(B98=1,0.9,1-0.9), IF(A98=1,0.9,1-0.9),
          IF(C98=1,0.9,1-0.9),
          IF(D98=1,0.9,1-0.9),
          IF(E98=1,0.9,1-0.9),
          IF(F98=1,0.9,1-0.9),
          IF(G98=1,0.9,1-0.9)) * M98</f>
        <v>0.0059049</v>
      </c>
      <c r="M98" s="2" t="n">
        <f aca="false">IF(C98=1,1,IF(AND(B98=1,A98=1,G98=1,D98=1),1,IF(AND(B98=1,A98=1,F98=1,D98=1,E98=1)
,1,0)))</f>
        <v>1</v>
      </c>
    </row>
    <row r="99" customFormat="false" ht="14.25" hidden="false" customHeight="false" outlineLevel="0" collapsed="false">
      <c r="A99" s="2" t="n">
        <v>1</v>
      </c>
      <c r="B99" s="2" t="n">
        <v>0</v>
      </c>
      <c r="C99" s="2" t="n">
        <v>1</v>
      </c>
      <c r="D99" s="2" t="n">
        <v>1</v>
      </c>
      <c r="E99" s="2" t="n">
        <v>1</v>
      </c>
      <c r="F99" s="2" t="n">
        <v>1</v>
      </c>
      <c r="G99" s="2" t="n">
        <v>1</v>
      </c>
      <c r="H99" s="1" t="n">
        <f aca="false"> ((($A99*$A$2)+(1-$A$2)*(1-$A99))* (($B99*$B$2)+(1-$B$2)*(1-$B99)) *(($C99*$C$2)+(1-
$C$2)*(1-$C99))* (($D99*$D$2)+(1-$D$2)*(1-$D99))* (($E99*$E$2)+(1-$E$2)*(1-$E99))*
(($F99*$F$2)+(1-$F$2)*(1-$F99))* (($G99*$G$2)+(1-$G$2)*(1-$G99)))*$M99</f>
        <v>0.0352947</v>
      </c>
      <c r="I99" s="6" t="n">
        <f aca="false">PRODUCT(IF(B99=1,0.6,1-0.6), IF(A99=1,0.6,1-0.6),
        IF(C99=1,0.6,1-0.6),
        IF(D99=1,0.6,1-0.6),
        IF(E99=1,0.6,1-0.6),
        IF(F99=1,0.6,1-0.6),
        IF(G99=1,0.6,1-0.6)) * M99</f>
        <v>0.0186624</v>
      </c>
      <c r="J99" s="6" t="n">
        <f aca="false">PRODUCT(IF(B99=1,0.7,1-0.7), IF(A99=1,0.7,1-0.7),
          IF(C99=1,0.7,1-0.7),
          IF(D99=1,0.7,1-0.7),
          IF(E99=1,0.7,1-0.7),
          IF(F99=1,0.7,1-0.7),
          IF(G99=1,0.7,1-0.7)) * M99</f>
        <v>0.0352947</v>
      </c>
      <c r="K99" s="6" t="n">
        <f aca="false">PRODUCT(IF(B99=1,0.8,1-0.8),IF(A99=1,0.8,1-0.8),
          IF(C99=1,0.8,1-0.8),
          IF(D99=1,0.8,1-0.8),
          IF(E99=1,0.8,1-0.8),
          IF(F99=1,0.8,1-0.8),
          IF(G99=1,0.8,1-0.8)) * M99</f>
        <v>0.0524288</v>
      </c>
      <c r="L99" s="6" t="n">
        <f aca="false">PRODUCT(IF(B99=1,0.9,1-0.9), IF(A99=1,0.9,1-0.9),
          IF(C99=1,0.9,1-0.9),
          IF(D99=1,0.9,1-0.9),
          IF(E99=1,0.9,1-0.9),
          IF(F99=1,0.9,1-0.9),
          IF(G99=1,0.9,1-0.9)) * M99</f>
        <v>0.0531441</v>
      </c>
      <c r="M99" s="2" t="n">
        <f aca="false">IF(C99=1,1,IF(AND(B99=1,A99=1,G99=1,D99=1),1,IF(AND(B99=1,A99=1,F99=1,D99=1,E99=1)
,1,0)))</f>
        <v>1</v>
      </c>
    </row>
    <row r="100" customFormat="false" ht="14.25" hidden="false" customHeight="false" outlineLevel="0" collapsed="false">
      <c r="A100" s="2" t="n">
        <v>1</v>
      </c>
      <c r="B100" s="2" t="n">
        <v>1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1" t="n">
        <f aca="false"> ((($A100*$A$2)+(1-$A$2)*(1-$A100))* (($B100*$B$2)+(1-$B$2)*(1-$B100)) *(($C100*$C$2)+(1-
$C$2)*(1-$C100))* (($D100*$D$2)+(1-$D$2)*(1-$D100))* (($E100*$E$2)+(1-$E$2)*(1-$E100))*
(($F100*$F$2)+(1-$F$2)*(1-$F100))* (($G100*$G$2)+(1-$G$2)*(1-$G100)))*$M100</f>
        <v>0</v>
      </c>
      <c r="I100" s="6" t="n">
        <f aca="false">PRODUCT(IF(B100=1,0.6,1-0.6), IF(A100=1,0.6,1-0.6),
        IF(C100=1,0.6,1-0.6),
        IF(D100=1,0.6,1-0.6),
        IF(E100=1,0.6,1-0.6),
        IF(F100=1,0.6,1-0.6),
        IF(G100=1,0.6,1-0.6)) * M100</f>
        <v>0</v>
      </c>
      <c r="J100" s="6" t="n">
        <f aca="false">PRODUCT(IF(B100=1,0.7,1-0.7), IF(A100=1,0.7,1-0.7),
          IF(C100=1,0.7,1-0.7),
          IF(D100=1,0.7,1-0.7),
          IF(E100=1,0.7,1-0.7),
          IF(F100=1,0.7,1-0.7),
          IF(G100=1,0.7,1-0.7)) * M100</f>
        <v>0</v>
      </c>
      <c r="K100" s="6" t="n">
        <f aca="false">PRODUCT(IF(B100=1,0.8,1-0.8),IF(A100=1,0.8,1-0.8),
          IF(C100=1,0.8,1-0.8),
          IF(D100=1,0.8,1-0.8),
          IF(E100=1,0.8,1-0.8),
          IF(F100=1,0.8,1-0.8),
          IF(G100=1,0.8,1-0.8)) * M100</f>
        <v>0</v>
      </c>
      <c r="L100" s="6" t="n">
        <f aca="false">PRODUCT(IF(B100=1,0.9,1-0.9), IF(A100=1,0.9,1-0.9),
          IF(C100=1,0.9,1-0.9),
          IF(D100=1,0.9,1-0.9),
          IF(E100=1,0.9,1-0.9),
          IF(F100=1,0.9,1-0.9),
          IF(G100=1,0.9,1-0.9)) * M100</f>
        <v>0</v>
      </c>
      <c r="M100" s="2" t="n">
        <f aca="false">IF(C100=1,1,IF(AND(B100=1,A100=1,G100=1,D100=1),1,IF(AND(B100=1,A100=1,F100=1,D100=1,E100=1)
,1,0)))</f>
        <v>0</v>
      </c>
    </row>
    <row r="101" customFormat="false" ht="14.25" hidden="false" customHeight="false" outlineLevel="0" collapsed="false">
      <c r="A101" s="2" t="n">
        <v>1</v>
      </c>
      <c r="B101" s="2" t="n">
        <v>1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1</v>
      </c>
      <c r="H101" s="1" t="n">
        <f aca="false"> ((($A101*$A$2)+(1-$A$2)*(1-$A101))* (($B101*$B$2)+(1-$B$2)*(1-$B101)) *(($C101*$C$2)+(1-
$C$2)*(1-$C101))* (($D101*$D$2)+(1-$D$2)*(1-$D101))* (($E101*$E$2)+(1-$E$2)*(1-$E101))*
(($F101*$F$2)+(1-$F$2)*(1-$F101))* (($G101*$G$2)+(1-$G$2)*(1-$G101)))*$M101</f>
        <v>0</v>
      </c>
      <c r="I101" s="6" t="n">
        <f aca="false">PRODUCT(IF(B101=1,0.6,1-0.6), IF(A101=1,0.6,1-0.6),
        IF(C101=1,0.6,1-0.6),
        IF(D101=1,0.6,1-0.6),
        IF(E101=1,0.6,1-0.6),
        IF(F101=1,0.6,1-0.6),
        IF(G101=1,0.6,1-0.6)) * M101</f>
        <v>0</v>
      </c>
      <c r="J101" s="6" t="n">
        <f aca="false">PRODUCT(IF(B101=1,0.7,1-0.7), IF(A101=1,0.7,1-0.7),
          IF(C101=1,0.7,1-0.7),
          IF(D101=1,0.7,1-0.7),
          IF(E101=1,0.7,1-0.7),
          IF(F101=1,0.7,1-0.7),
          IF(G101=1,0.7,1-0.7)) * M101</f>
        <v>0</v>
      </c>
      <c r="K101" s="6" t="n">
        <f aca="false">PRODUCT(IF(B101=1,0.8,1-0.8),IF(A101=1,0.8,1-0.8),
          IF(C101=1,0.8,1-0.8),
          IF(D101=1,0.8,1-0.8),
          IF(E101=1,0.8,1-0.8),
          IF(F101=1,0.8,1-0.8),
          IF(G101=1,0.8,1-0.8)) * M101</f>
        <v>0</v>
      </c>
      <c r="L101" s="6" t="n">
        <f aca="false">PRODUCT(IF(B101=1,0.9,1-0.9), IF(A101=1,0.9,1-0.9),
          IF(C101=1,0.9,1-0.9),
          IF(D101=1,0.9,1-0.9),
          IF(E101=1,0.9,1-0.9),
          IF(F101=1,0.9,1-0.9),
          IF(G101=1,0.9,1-0.9)) * M101</f>
        <v>0</v>
      </c>
      <c r="M101" s="2" t="n">
        <f aca="false">IF(C101=1,1,IF(AND(B101=1,A101=1,G101=1,D101=1),1,IF(AND(B101=1,A101=1,F101=1,D101=1,E101=1)
,1,0)))</f>
        <v>0</v>
      </c>
    </row>
    <row r="102" customFormat="false" ht="14.25" hidden="false" customHeight="false" outlineLevel="0" collapsed="false">
      <c r="A102" s="2" t="n">
        <v>1</v>
      </c>
      <c r="B102" s="2" t="n">
        <v>1</v>
      </c>
      <c r="C102" s="2" t="n">
        <v>0</v>
      </c>
      <c r="D102" s="2" t="n">
        <v>0</v>
      </c>
      <c r="E102" s="2" t="n">
        <v>0</v>
      </c>
      <c r="F102" s="2" t="n">
        <v>1</v>
      </c>
      <c r="G102" s="2" t="n">
        <v>0</v>
      </c>
      <c r="H102" s="1" t="n">
        <f aca="false"> ((($A102*$A$2)+(1-$A$2)*(1-$A102))* (($B102*$B$2)+(1-$B$2)*(1-$B102)) *(($C102*$C$2)+(1-
$C$2)*(1-$C102))* (($D102*$D$2)+(1-$D$2)*(1-$D102))* (($E102*$E$2)+(1-$E$2)*(1-$E102))*
(($F102*$F$2)+(1-$F$2)*(1-$F102))* (($G102*$G$2)+(1-$G$2)*(1-$G102)))*$M102</f>
        <v>0</v>
      </c>
      <c r="I102" s="6" t="n">
        <f aca="false">PRODUCT(IF(B102=1,0.6,1-0.6), IF(A102=1,0.6,1-0.6),
        IF(C102=1,0.6,1-0.6),
        IF(D102=1,0.6,1-0.6),
        IF(E102=1,0.6,1-0.6),
        IF(F102=1,0.6,1-0.6),
        IF(G102=1,0.6,1-0.6)) * M102</f>
        <v>0</v>
      </c>
      <c r="J102" s="6" t="n">
        <f aca="false">PRODUCT(IF(B102=1,0.7,1-0.7), IF(A102=1,0.7,1-0.7),
          IF(C102=1,0.7,1-0.7),
          IF(D102=1,0.7,1-0.7),
          IF(E102=1,0.7,1-0.7),
          IF(F102=1,0.7,1-0.7),
          IF(G102=1,0.7,1-0.7)) * M102</f>
        <v>0</v>
      </c>
      <c r="K102" s="6" t="n">
        <f aca="false">PRODUCT(IF(B102=1,0.8,1-0.8),IF(A102=1,0.8,1-0.8),
          IF(C102=1,0.8,1-0.8),
          IF(D102=1,0.8,1-0.8),
          IF(E102=1,0.8,1-0.8),
          IF(F102=1,0.8,1-0.8),
          IF(G102=1,0.8,1-0.8)) * M102</f>
        <v>0</v>
      </c>
      <c r="L102" s="6" t="n">
        <f aca="false">PRODUCT(IF(B102=1,0.9,1-0.9), IF(A102=1,0.9,1-0.9),
          IF(C102=1,0.9,1-0.9),
          IF(D102=1,0.9,1-0.9),
          IF(E102=1,0.9,1-0.9),
          IF(F102=1,0.9,1-0.9),
          IF(G102=1,0.9,1-0.9)) * M102</f>
        <v>0</v>
      </c>
      <c r="M102" s="2" t="n">
        <f aca="false">IF(C102=1,1,IF(AND(B102=1,A102=1,G102=1,D102=1),1,IF(AND(B102=1,A102=1,F102=1,D102=1,E102=1)
,1,0)))</f>
        <v>0</v>
      </c>
    </row>
    <row r="103" customFormat="false" ht="14.25" hidden="false" customHeight="false" outlineLevel="0" collapsed="false">
      <c r="A103" s="2" t="n">
        <v>1</v>
      </c>
      <c r="B103" s="2" t="n">
        <v>1</v>
      </c>
      <c r="C103" s="2" t="n">
        <v>0</v>
      </c>
      <c r="D103" s="2" t="n">
        <v>0</v>
      </c>
      <c r="E103" s="2" t="n">
        <v>0</v>
      </c>
      <c r="F103" s="2" t="n">
        <v>1</v>
      </c>
      <c r="G103" s="2" t="n">
        <v>1</v>
      </c>
      <c r="H103" s="1" t="n">
        <f aca="false"> ((($A103*$A$2)+(1-$A$2)*(1-$A103))* (($B103*$B$2)+(1-$B$2)*(1-$B103)) *(($C103*$C$2)+(1-
$C$2)*(1-$C103))* (($D103*$D$2)+(1-$D$2)*(1-$D103))* (($E103*$E$2)+(1-$E$2)*(1-$E103))*
(($F103*$F$2)+(1-$F$2)*(1-$F103))* (($G103*$G$2)+(1-$G$2)*(1-$G103)))*$M103</f>
        <v>0</v>
      </c>
      <c r="I103" s="6" t="n">
        <f aca="false">PRODUCT(IF(B103=1,0.6,1-0.6), IF(A103=1,0.6,1-0.6),
        IF(C103=1,0.6,1-0.6),
        IF(D103=1,0.6,1-0.6),
        IF(E103=1,0.6,1-0.6),
        IF(F103=1,0.6,1-0.6),
        IF(G103=1,0.6,1-0.6)) * M103</f>
        <v>0</v>
      </c>
      <c r="J103" s="6" t="n">
        <f aca="false">PRODUCT(IF(B103=1,0.7,1-0.7), IF(A103=1,0.7,1-0.7),
          IF(C103=1,0.7,1-0.7),
          IF(D103=1,0.7,1-0.7),
          IF(E103=1,0.7,1-0.7),
          IF(F103=1,0.7,1-0.7),
          IF(G103=1,0.7,1-0.7)) * M103</f>
        <v>0</v>
      </c>
      <c r="K103" s="6" t="n">
        <f aca="false">PRODUCT(IF(B103=1,0.8,1-0.8),IF(A103=1,0.8,1-0.8),
          IF(C103=1,0.8,1-0.8),
          IF(D103=1,0.8,1-0.8),
          IF(E103=1,0.8,1-0.8),
          IF(F103=1,0.8,1-0.8),
          IF(G103=1,0.8,1-0.8)) * M103</f>
        <v>0</v>
      </c>
      <c r="L103" s="6" t="n">
        <f aca="false">PRODUCT(IF(B103=1,0.9,1-0.9), IF(A103=1,0.9,1-0.9),
          IF(C103=1,0.9,1-0.9),
          IF(D103=1,0.9,1-0.9),
          IF(E103=1,0.9,1-0.9),
          IF(F103=1,0.9,1-0.9),
          IF(G103=1,0.9,1-0.9)) * M103</f>
        <v>0</v>
      </c>
      <c r="M103" s="2" t="n">
        <f aca="false">IF(C103=1,1,IF(AND(B103=1,A103=1,G103=1,D103=1),1,IF(AND(B103=1,A103=1,F103=1,D103=1,E103=1)
,1,0)))</f>
        <v>0</v>
      </c>
    </row>
    <row r="104" customFormat="false" ht="14.25" hidden="false" customHeight="false" outlineLevel="0" collapsed="false">
      <c r="A104" s="2" t="n">
        <v>1</v>
      </c>
      <c r="B104" s="2" t="n">
        <v>1</v>
      </c>
      <c r="C104" s="2" t="n">
        <v>0</v>
      </c>
      <c r="D104" s="2" t="n">
        <v>0</v>
      </c>
      <c r="E104" s="2" t="n">
        <v>1</v>
      </c>
      <c r="F104" s="2" t="n">
        <v>0</v>
      </c>
      <c r="G104" s="2" t="n">
        <v>0</v>
      </c>
      <c r="H104" s="1" t="n">
        <f aca="false"> ((($A104*$A$2)+(1-$A$2)*(1-$A104))* (($B104*$B$2)+(1-$B$2)*(1-$B104)) *(($C104*$C$2)+(1-
$C$2)*(1-$C104))* (($D104*$D$2)+(1-$D$2)*(1-$D104))* (($E104*$E$2)+(1-$E$2)*(1-$E104))*
(($F104*$F$2)+(1-$F$2)*(1-$F104))* (($G104*$G$2)+(1-$G$2)*(1-$G104)))*$M104</f>
        <v>0</v>
      </c>
      <c r="I104" s="6" t="n">
        <f aca="false">PRODUCT(IF(B104=1,0.6,1-0.6), IF(A104=1,0.6,1-0.6),
        IF(C104=1,0.6,1-0.6),
        IF(D104=1,0.6,1-0.6),
        IF(E104=1,0.6,1-0.6),
        IF(F104=1,0.6,1-0.6),
        IF(G104=1,0.6,1-0.6)) * M104</f>
        <v>0</v>
      </c>
      <c r="J104" s="6" t="n">
        <f aca="false">PRODUCT(IF(B104=1,0.7,1-0.7), IF(A104=1,0.7,1-0.7),
          IF(C104=1,0.7,1-0.7),
          IF(D104=1,0.7,1-0.7),
          IF(E104=1,0.7,1-0.7),
          IF(F104=1,0.7,1-0.7),
          IF(G104=1,0.7,1-0.7)) * M104</f>
        <v>0</v>
      </c>
      <c r="K104" s="6" t="n">
        <f aca="false">PRODUCT(IF(B104=1,0.8,1-0.8),IF(A104=1,0.8,1-0.8),
          IF(C104=1,0.8,1-0.8),
          IF(D104=1,0.8,1-0.8),
          IF(E104=1,0.8,1-0.8),
          IF(F104=1,0.8,1-0.8),
          IF(G104=1,0.8,1-0.8)) * M104</f>
        <v>0</v>
      </c>
      <c r="L104" s="6" t="n">
        <f aca="false">PRODUCT(IF(B104=1,0.9,1-0.9), IF(A104=1,0.9,1-0.9),
          IF(C104=1,0.9,1-0.9),
          IF(D104=1,0.9,1-0.9),
          IF(E104=1,0.9,1-0.9),
          IF(F104=1,0.9,1-0.9),
          IF(G104=1,0.9,1-0.9)) * M104</f>
        <v>0</v>
      </c>
      <c r="M104" s="2" t="n">
        <f aca="false">IF(C104=1,1,IF(AND(B104=1,A104=1,G104=1,D104=1),1,IF(AND(B104=1,A104=1,F104=1,D104=1,E104=1)
,1,0)))</f>
        <v>0</v>
      </c>
    </row>
    <row r="105" customFormat="false" ht="14.25" hidden="false" customHeight="false" outlineLevel="0" collapsed="false">
      <c r="A105" s="2" t="n">
        <v>1</v>
      </c>
      <c r="B105" s="2" t="n">
        <v>1</v>
      </c>
      <c r="C105" s="2" t="n">
        <v>0</v>
      </c>
      <c r="D105" s="2" t="n">
        <v>0</v>
      </c>
      <c r="E105" s="2" t="n">
        <v>1</v>
      </c>
      <c r="F105" s="2" t="n">
        <v>0</v>
      </c>
      <c r="G105" s="2" t="n">
        <v>1</v>
      </c>
      <c r="H105" s="1" t="n">
        <f aca="false"> ((($A105*$A$2)+(1-$A$2)*(1-$A105))* (($B105*$B$2)+(1-$B$2)*(1-$B105)) *(($C105*$C$2)+(1-
$C$2)*(1-$C105))* (($D105*$D$2)+(1-$D$2)*(1-$D105))* (($E105*$E$2)+(1-$E$2)*(1-$E105))*
(($F105*$F$2)+(1-$F$2)*(1-$F105))* (($G105*$G$2)+(1-$G$2)*(1-$G105)))*$M105</f>
        <v>0</v>
      </c>
      <c r="I105" s="6" t="n">
        <f aca="false">PRODUCT(IF(B105=1,0.6,1-0.6), IF(A105=1,0.6,1-0.6),
        IF(C105=1,0.6,1-0.6),
        IF(D105=1,0.6,1-0.6),
        IF(E105=1,0.6,1-0.6),
        IF(F105=1,0.6,1-0.6),
        IF(G105=1,0.6,1-0.6)) * M105</f>
        <v>0</v>
      </c>
      <c r="J105" s="6" t="n">
        <f aca="false">PRODUCT(IF(B105=1,0.7,1-0.7), IF(A105=1,0.7,1-0.7),
          IF(C105=1,0.7,1-0.7),
          IF(D105=1,0.7,1-0.7),
          IF(E105=1,0.7,1-0.7),
          IF(F105=1,0.7,1-0.7),
          IF(G105=1,0.7,1-0.7)) * M105</f>
        <v>0</v>
      </c>
      <c r="K105" s="6" t="n">
        <f aca="false">PRODUCT(IF(B105=1,0.8,1-0.8),IF(A105=1,0.8,1-0.8),
          IF(C105=1,0.8,1-0.8),
          IF(D105=1,0.8,1-0.8),
          IF(E105=1,0.8,1-0.8),
          IF(F105=1,0.8,1-0.8),
          IF(G105=1,0.8,1-0.8)) * M105</f>
        <v>0</v>
      </c>
      <c r="L105" s="6" t="n">
        <f aca="false">PRODUCT(IF(B105=1,0.9,1-0.9), IF(A105=1,0.9,1-0.9),
          IF(C105=1,0.9,1-0.9),
          IF(D105=1,0.9,1-0.9),
          IF(E105=1,0.9,1-0.9),
          IF(F105=1,0.9,1-0.9),
          IF(G105=1,0.9,1-0.9)) * M105</f>
        <v>0</v>
      </c>
      <c r="M105" s="2" t="n">
        <f aca="false">IF(C105=1,1,IF(AND(B105=1,A105=1,G105=1,D105=1),1,IF(AND(B105=1,A105=1,F105=1,D105=1,E105=1)
,1,0)))</f>
        <v>0</v>
      </c>
    </row>
    <row r="106" customFormat="false" ht="14.25" hidden="false" customHeight="false" outlineLevel="0" collapsed="false">
      <c r="A106" s="2" t="n">
        <v>1</v>
      </c>
      <c r="B106" s="2" t="n">
        <v>1</v>
      </c>
      <c r="C106" s="2" t="n">
        <v>0</v>
      </c>
      <c r="D106" s="2" t="n">
        <v>0</v>
      </c>
      <c r="E106" s="2" t="n">
        <v>1</v>
      </c>
      <c r="F106" s="2" t="n">
        <v>1</v>
      </c>
      <c r="G106" s="2" t="n">
        <v>0</v>
      </c>
      <c r="H106" s="1" t="n">
        <f aca="false"> ((($A106*$A$2)+(1-$A$2)*(1-$A106))* (($B106*$B$2)+(1-$B$2)*(1-$B106)) *(($C106*$C$2)+(1-
$C$2)*(1-$C106))* (($D106*$D$2)+(1-$D$2)*(1-$D106))* (($E106*$E$2)+(1-$E$2)*(1-$E106))*
(($F106*$F$2)+(1-$F$2)*(1-$F106))* (($G106*$G$2)+(1-$G$2)*(1-$G106)))*$M106</f>
        <v>0</v>
      </c>
      <c r="I106" s="6" t="n">
        <f aca="false">PRODUCT(IF(B106=1,0.6,1-0.6), IF(A106=1,0.6,1-0.6),
        IF(C106=1,0.6,1-0.6),
        IF(D106=1,0.6,1-0.6),
        IF(E106=1,0.6,1-0.6),
        IF(F106=1,0.6,1-0.6),
        IF(G106=1,0.6,1-0.6)) * M106</f>
        <v>0</v>
      </c>
      <c r="J106" s="6" t="n">
        <f aca="false">PRODUCT(IF(B106=1,0.7,1-0.7), IF(A106=1,0.7,1-0.7),
          IF(C106=1,0.7,1-0.7),
          IF(D106=1,0.7,1-0.7),
          IF(E106=1,0.7,1-0.7),
          IF(F106=1,0.7,1-0.7),
          IF(G106=1,0.7,1-0.7)) * M106</f>
        <v>0</v>
      </c>
      <c r="K106" s="6" t="n">
        <f aca="false">PRODUCT(IF(B106=1,0.8,1-0.8),IF(A106=1,0.8,1-0.8),
          IF(C106=1,0.8,1-0.8),
          IF(D106=1,0.8,1-0.8),
          IF(E106=1,0.8,1-0.8),
          IF(F106=1,0.8,1-0.8),
          IF(G106=1,0.8,1-0.8)) * M106</f>
        <v>0</v>
      </c>
      <c r="L106" s="6" t="n">
        <f aca="false">PRODUCT(IF(B106=1,0.9,1-0.9), IF(A106=1,0.9,1-0.9),
          IF(C106=1,0.9,1-0.9),
          IF(D106=1,0.9,1-0.9),
          IF(E106=1,0.9,1-0.9),
          IF(F106=1,0.9,1-0.9),
          IF(G106=1,0.9,1-0.9)) * M106</f>
        <v>0</v>
      </c>
      <c r="M106" s="2" t="n">
        <f aca="false">IF(C106=1,1,IF(AND(B106=1,A106=1,G106=1,D106=1),1,IF(AND(B106=1,A106=1,F106=1,D106=1,E106=1)
,1,0)))</f>
        <v>0</v>
      </c>
    </row>
    <row r="107" customFormat="false" ht="14.25" hidden="false" customHeight="false" outlineLevel="0" collapsed="false">
      <c r="A107" s="2" t="n">
        <v>1</v>
      </c>
      <c r="B107" s="2" t="n">
        <v>1</v>
      </c>
      <c r="C107" s="2" t="n">
        <v>0</v>
      </c>
      <c r="D107" s="2" t="n">
        <v>0</v>
      </c>
      <c r="E107" s="2" t="n">
        <v>1</v>
      </c>
      <c r="F107" s="2" t="n">
        <v>1</v>
      </c>
      <c r="G107" s="2" t="n">
        <v>1</v>
      </c>
      <c r="H107" s="1" t="n">
        <f aca="false"> ((($A107*$A$2)+(1-$A$2)*(1-$A107))* (($B107*$B$2)+(1-$B$2)*(1-$B107)) *(($C107*$C$2)+(1-
$C$2)*(1-$C107))* (($D107*$D$2)+(1-$D$2)*(1-$D107))* (($E107*$E$2)+(1-$E$2)*(1-$E107))*
(($F107*$F$2)+(1-$F$2)*(1-$F107))* (($G107*$G$2)+(1-$G$2)*(1-$G107)))*$M107</f>
        <v>0</v>
      </c>
      <c r="I107" s="6" t="n">
        <f aca="false">PRODUCT(IF(B107=1,0.6,1-0.6), IF(A107=1,0.6,1-0.6),
        IF(C107=1,0.6,1-0.6),
        IF(D107=1,0.6,1-0.6),
        IF(E107=1,0.6,1-0.6),
        IF(F107=1,0.6,1-0.6),
        IF(G107=1,0.6,1-0.6)) * M107</f>
        <v>0</v>
      </c>
      <c r="J107" s="6" t="n">
        <f aca="false">PRODUCT(IF(B107=1,0.7,1-0.7), IF(A107=1,0.7,1-0.7),
          IF(C107=1,0.7,1-0.7),
          IF(D107=1,0.7,1-0.7),
          IF(E107=1,0.7,1-0.7),
          IF(F107=1,0.7,1-0.7),
          IF(G107=1,0.7,1-0.7)) * M107</f>
        <v>0</v>
      </c>
      <c r="K107" s="6" t="n">
        <f aca="false">PRODUCT(IF(B107=1,0.8,1-0.8),IF(A107=1,0.8,1-0.8),
          IF(C107=1,0.8,1-0.8),
          IF(D107=1,0.8,1-0.8),
          IF(E107=1,0.8,1-0.8),
          IF(F107=1,0.8,1-0.8),
          IF(G107=1,0.8,1-0.8)) * M107</f>
        <v>0</v>
      </c>
      <c r="L107" s="6" t="n">
        <f aca="false">PRODUCT(IF(B107=1,0.9,1-0.9), IF(A107=1,0.9,1-0.9),
          IF(C107=1,0.9,1-0.9),
          IF(D107=1,0.9,1-0.9),
          IF(E107=1,0.9,1-0.9),
          IF(F107=1,0.9,1-0.9),
          IF(G107=1,0.9,1-0.9)) * M107</f>
        <v>0</v>
      </c>
      <c r="M107" s="2" t="n">
        <f aca="false">IF(C107=1,1,IF(AND(B107=1,A107=1,G107=1,D107=1),1,IF(AND(B107=1,A107=1,F107=1,D107=1,E107=1)
,1,0)))</f>
        <v>0</v>
      </c>
    </row>
    <row r="108" customFormat="false" ht="14.25" hidden="false" customHeight="false" outlineLevel="0" collapsed="false">
      <c r="A108" s="2" t="n">
        <v>1</v>
      </c>
      <c r="B108" s="2" t="n">
        <v>1</v>
      </c>
      <c r="C108" s="2" t="n">
        <v>0</v>
      </c>
      <c r="D108" s="2" t="n">
        <v>1</v>
      </c>
      <c r="E108" s="2" t="n">
        <v>0</v>
      </c>
      <c r="F108" s="2" t="n">
        <v>0</v>
      </c>
      <c r="G108" s="2" t="n">
        <v>0</v>
      </c>
      <c r="H108" s="1" t="n">
        <f aca="false"> ((($A108*$A$2)+(1-$A$2)*(1-$A108))* (($B108*$B$2)+(1-$B$2)*(1-$B108)) *(($C108*$C$2)+(1-
$C$2)*(1-$C108))* (($D108*$D$2)+(1-$D$2)*(1-$D108))* (($E108*$E$2)+(1-$E$2)*(1-$E108))*
(($F108*$F$2)+(1-$F$2)*(1-$F108))* (($G108*$G$2)+(1-$G$2)*(1-$G108)))*$M108</f>
        <v>0</v>
      </c>
      <c r="I108" s="6" t="n">
        <f aca="false">PRODUCT(IF(B108=1,0.6,1-0.6), IF(A108=1,0.6,1-0.6),
        IF(C108=1,0.6,1-0.6),
        IF(D108=1,0.6,1-0.6),
        IF(E108=1,0.6,1-0.6),
        IF(F108=1,0.6,1-0.6),
        IF(G108=1,0.6,1-0.6)) * M108</f>
        <v>0</v>
      </c>
      <c r="J108" s="6" t="n">
        <f aca="false">PRODUCT(IF(B108=1,0.7,1-0.7), IF(A108=1,0.7,1-0.7),
          IF(C108=1,0.7,1-0.7),
          IF(D108=1,0.7,1-0.7),
          IF(E108=1,0.7,1-0.7),
          IF(F108=1,0.7,1-0.7),
          IF(G108=1,0.7,1-0.7)) * M108</f>
        <v>0</v>
      </c>
      <c r="K108" s="6" t="n">
        <f aca="false">PRODUCT(IF(B108=1,0.8,1-0.8),IF(A108=1,0.8,1-0.8),
          IF(C108=1,0.8,1-0.8),
          IF(D108=1,0.8,1-0.8),
          IF(E108=1,0.8,1-0.8),
          IF(F108=1,0.8,1-0.8),
          IF(G108=1,0.8,1-0.8)) * M108</f>
        <v>0</v>
      </c>
      <c r="L108" s="6" t="n">
        <f aca="false">PRODUCT(IF(B108=1,0.9,1-0.9), IF(A108=1,0.9,1-0.9),
          IF(C108=1,0.9,1-0.9),
          IF(D108=1,0.9,1-0.9),
          IF(E108=1,0.9,1-0.9),
          IF(F108=1,0.9,1-0.9),
          IF(G108=1,0.9,1-0.9)) * M108</f>
        <v>0</v>
      </c>
      <c r="M108" s="2" t="n">
        <f aca="false">IF(C108=1,1,IF(AND(B108=1,A108=1,G108=1,D108=1),1,IF(AND(B108=1,A108=1,F108=1,D108=1,E108=1)
,1,0)))</f>
        <v>0</v>
      </c>
    </row>
    <row r="109" customFormat="false" ht="14.25" hidden="false" customHeight="false" outlineLevel="0" collapsed="false">
      <c r="A109" s="2" t="n">
        <v>1</v>
      </c>
      <c r="B109" s="2" t="n">
        <v>1</v>
      </c>
      <c r="C109" s="2" t="n">
        <v>0</v>
      </c>
      <c r="D109" s="2" t="n">
        <v>1</v>
      </c>
      <c r="E109" s="2" t="n">
        <v>0</v>
      </c>
      <c r="F109" s="2" t="n">
        <v>0</v>
      </c>
      <c r="G109" s="2" t="n">
        <v>1</v>
      </c>
      <c r="H109" s="1" t="n">
        <f aca="false"> ((($A109*$A$2)+(1-$A$2)*(1-$A109))* (($B109*$B$2)+(1-$B$2)*(1-$B109)) *(($C109*$C$2)+(1-
$C$2)*(1-$C109))* (($D109*$D$2)+(1-$D$2)*(1-$D109))* (($E109*$E$2)+(1-$E$2)*(1-$E109))*
(($F109*$F$2)+(1-$F$2)*(1-$F109))* (($G109*$G$2)+(1-$G$2)*(1-$G109)))*$M109</f>
        <v>0.0064827</v>
      </c>
      <c r="I109" s="6" t="n">
        <f aca="false">PRODUCT(IF(B109=1,0.6,1-0.6), IF(A109=1,0.6,1-0.6),
        IF(C109=1,0.6,1-0.6),
        IF(D109=1,0.6,1-0.6),
        IF(E109=1,0.6,1-0.6),
        IF(F109=1,0.6,1-0.6),
        IF(G109=1,0.6,1-0.6)) * M109</f>
        <v>0.0082944</v>
      </c>
      <c r="J109" s="6" t="n">
        <f aca="false">PRODUCT(IF(B109=1,0.7,1-0.7), IF(A109=1,0.7,1-0.7),
          IF(C109=1,0.7,1-0.7),
          IF(D109=1,0.7,1-0.7),
          IF(E109=1,0.7,1-0.7),
          IF(F109=1,0.7,1-0.7),
          IF(G109=1,0.7,1-0.7)) * M109</f>
        <v>0.0064827</v>
      </c>
      <c r="K109" s="6" t="n">
        <f aca="false">PRODUCT(IF(B109=1,0.8,1-0.8),IF(A109=1,0.8,1-0.8),
          IF(C109=1,0.8,1-0.8),
          IF(D109=1,0.8,1-0.8),
          IF(E109=1,0.8,1-0.8),
          IF(F109=1,0.8,1-0.8),
          IF(G109=1,0.8,1-0.8)) * M109</f>
        <v>0.0032768</v>
      </c>
      <c r="L109" s="6" t="n">
        <f aca="false">PRODUCT(IF(B109=1,0.9,1-0.9), IF(A109=1,0.9,1-0.9),
          IF(C109=1,0.9,1-0.9),
          IF(D109=1,0.9,1-0.9),
          IF(E109=1,0.9,1-0.9),
          IF(F109=1,0.9,1-0.9),
          IF(G109=1,0.9,1-0.9)) * M109</f>
        <v>0.0006561</v>
      </c>
      <c r="M109" s="2" t="n">
        <f aca="false">IF(C109=1,1,IF(AND(B109=1,A109=1,G109=1,D109=1),1,IF(AND(B109=1,A109=1,F109=1,D109=1,E109=1)
,1,0)))</f>
        <v>1</v>
      </c>
    </row>
    <row r="110" customFormat="false" ht="14.25" hidden="false" customHeight="false" outlineLevel="0" collapsed="false">
      <c r="A110" s="2" t="n">
        <v>1</v>
      </c>
      <c r="B110" s="2" t="n">
        <v>1</v>
      </c>
      <c r="C110" s="2" t="n">
        <v>0</v>
      </c>
      <c r="D110" s="2" t="n">
        <v>1</v>
      </c>
      <c r="E110" s="2" t="n">
        <v>0</v>
      </c>
      <c r="F110" s="2" t="n">
        <v>1</v>
      </c>
      <c r="G110" s="2" t="n">
        <v>0</v>
      </c>
      <c r="H110" s="1" t="n">
        <f aca="false"> ((($A110*$A$2)+(1-$A$2)*(1-$A110))* (($B110*$B$2)+(1-$B$2)*(1-$B110)) *(($C110*$C$2)+(1-
$C$2)*(1-$C110))* (($D110*$D$2)+(1-$D$2)*(1-$D110))* (($E110*$E$2)+(1-$E$2)*(1-$E110))*
(($F110*$F$2)+(1-$F$2)*(1-$F110))* (($G110*$G$2)+(1-$G$2)*(1-$G110)))*$M110</f>
        <v>0</v>
      </c>
      <c r="I110" s="6" t="n">
        <f aca="false">PRODUCT(IF(B110=1,0.6,1-0.6), IF(A110=1,0.6,1-0.6),
        IF(C110=1,0.6,1-0.6),
        IF(D110=1,0.6,1-0.6),
        IF(E110=1,0.6,1-0.6),
        IF(F110=1,0.6,1-0.6),
        IF(G110=1,0.6,1-0.6)) * M110</f>
        <v>0</v>
      </c>
      <c r="J110" s="6" t="n">
        <f aca="false">PRODUCT(IF(B110=1,0.7,1-0.7), IF(A110=1,0.7,1-0.7),
          IF(C110=1,0.7,1-0.7),
          IF(D110=1,0.7,1-0.7),
          IF(E110=1,0.7,1-0.7),
          IF(F110=1,0.7,1-0.7),
          IF(G110=1,0.7,1-0.7)) * M110</f>
        <v>0</v>
      </c>
      <c r="K110" s="6" t="n">
        <f aca="false">PRODUCT(IF(B110=1,0.8,1-0.8),IF(A110=1,0.8,1-0.8),
          IF(C110=1,0.8,1-0.8),
          IF(D110=1,0.8,1-0.8),
          IF(E110=1,0.8,1-0.8),
          IF(F110=1,0.8,1-0.8),
          IF(G110=1,0.8,1-0.8)) * M110</f>
        <v>0</v>
      </c>
      <c r="L110" s="6" t="n">
        <f aca="false">PRODUCT(IF(B110=1,0.9,1-0.9), IF(A110=1,0.9,1-0.9),
          IF(C110=1,0.9,1-0.9),
          IF(D110=1,0.9,1-0.9),
          IF(E110=1,0.9,1-0.9),
          IF(F110=1,0.9,1-0.9),
          IF(G110=1,0.9,1-0.9)) * M110</f>
        <v>0</v>
      </c>
      <c r="M110" s="2" t="n">
        <f aca="false">IF(C110=1,1,IF(AND(B110=1,A110=1,G110=1,D110=1),1,IF(AND(B110=1,A110=1,F110=1,D110=1,E110=1)
,1,0)))</f>
        <v>0</v>
      </c>
    </row>
    <row r="111" customFormat="false" ht="14.25" hidden="false" customHeight="false" outlineLevel="0" collapsed="false">
      <c r="A111" s="2" t="n">
        <v>1</v>
      </c>
      <c r="B111" s="2" t="n">
        <v>1</v>
      </c>
      <c r="C111" s="2" t="n">
        <v>0</v>
      </c>
      <c r="D111" s="2" t="n">
        <v>1</v>
      </c>
      <c r="E111" s="2" t="n">
        <v>0</v>
      </c>
      <c r="F111" s="2" t="n">
        <v>1</v>
      </c>
      <c r="G111" s="2" t="n">
        <v>1</v>
      </c>
      <c r="H111" s="1" t="n">
        <f aca="false"> ((($A111*$A$2)+(1-$A$2)*(1-$A111))* (($B111*$B$2)+(1-$B$2)*(1-$B111)) *(($C111*$C$2)+(1-
$C$2)*(1-$C111))* (($D111*$D$2)+(1-$D$2)*(1-$D111))* (($E111*$E$2)+(1-$E$2)*(1-$E111))*
(($F111*$F$2)+(1-$F$2)*(1-$F111))* (($G111*$G$2)+(1-$G$2)*(1-$G111)))*$M111</f>
        <v>0.0151263</v>
      </c>
      <c r="I111" s="6" t="n">
        <f aca="false">PRODUCT(IF(B111=1,0.6,1-0.6), IF(A111=1,0.6,1-0.6),
        IF(C111=1,0.6,1-0.6),
        IF(D111=1,0.6,1-0.6),
        IF(E111=1,0.6,1-0.6),
        IF(F111=1,0.6,1-0.6),
        IF(G111=1,0.6,1-0.6)) * M111</f>
        <v>0.0124416</v>
      </c>
      <c r="J111" s="6" t="n">
        <f aca="false">PRODUCT(IF(B111=1,0.7,1-0.7), IF(A111=1,0.7,1-0.7),
          IF(C111=1,0.7,1-0.7),
          IF(D111=1,0.7,1-0.7),
          IF(E111=1,0.7,1-0.7),
          IF(F111=1,0.7,1-0.7),
          IF(G111=1,0.7,1-0.7)) * M111</f>
        <v>0.0151263</v>
      </c>
      <c r="K111" s="6" t="n">
        <f aca="false">PRODUCT(IF(B111=1,0.8,1-0.8),IF(A111=1,0.8,1-0.8),
          IF(C111=1,0.8,1-0.8),
          IF(D111=1,0.8,1-0.8),
          IF(E111=1,0.8,1-0.8),
          IF(F111=1,0.8,1-0.8),
          IF(G111=1,0.8,1-0.8)) * M111</f>
        <v>0.0131072</v>
      </c>
      <c r="L111" s="6" t="n">
        <f aca="false">PRODUCT(IF(B111=1,0.9,1-0.9), IF(A111=1,0.9,1-0.9),
          IF(C111=1,0.9,1-0.9),
          IF(D111=1,0.9,1-0.9),
          IF(E111=1,0.9,1-0.9),
          IF(F111=1,0.9,1-0.9),
          IF(G111=1,0.9,1-0.9)) * M111</f>
        <v>0.0059049</v>
      </c>
      <c r="M111" s="2" t="n">
        <f aca="false">IF(C111=1,1,IF(AND(B111=1,A111=1,G111=1,D111=1),1,IF(AND(B111=1,A111=1,F111=1,D111=1,E111=1)
,1,0)))</f>
        <v>1</v>
      </c>
    </row>
    <row r="112" customFormat="false" ht="14.25" hidden="false" customHeight="false" outlineLevel="0" collapsed="false">
      <c r="A112" s="2" t="n">
        <v>1</v>
      </c>
      <c r="B112" s="2" t="n">
        <v>1</v>
      </c>
      <c r="C112" s="2" t="n">
        <v>0</v>
      </c>
      <c r="D112" s="2" t="n">
        <v>1</v>
      </c>
      <c r="E112" s="2" t="n">
        <v>1</v>
      </c>
      <c r="F112" s="2" t="n">
        <v>0</v>
      </c>
      <c r="G112" s="2" t="n">
        <v>0</v>
      </c>
      <c r="H112" s="1" t="n">
        <f aca="false"> ((($A112*$A$2)+(1-$A$2)*(1-$A112))* (($B112*$B$2)+(1-$B$2)*(1-$B112)) *(($C112*$C$2)+(1-
$C$2)*(1-$C112))* (($D112*$D$2)+(1-$D$2)*(1-$D112))* (($E112*$E$2)+(1-$E$2)*(1-$E112))*
(($F112*$F$2)+(1-$F$2)*(1-$F112))* (($G112*$G$2)+(1-$G$2)*(1-$G112)))*$M112</f>
        <v>0</v>
      </c>
      <c r="I112" s="6" t="n">
        <f aca="false">PRODUCT(IF(B112=1,0.6,1-0.6), IF(A112=1,0.6,1-0.6),
        IF(C112=1,0.6,1-0.6),
        IF(D112=1,0.6,1-0.6),
        IF(E112=1,0.6,1-0.6),
        IF(F112=1,0.6,1-0.6),
        IF(G112=1,0.6,1-0.6)) * M112</f>
        <v>0</v>
      </c>
      <c r="J112" s="6" t="n">
        <f aca="false">PRODUCT(IF(B112=1,0.7,1-0.7), IF(A112=1,0.7,1-0.7),
          IF(C112=1,0.7,1-0.7),
          IF(D112=1,0.7,1-0.7),
          IF(E112=1,0.7,1-0.7),
          IF(F112=1,0.7,1-0.7),
          IF(G112=1,0.7,1-0.7)) * M112</f>
        <v>0</v>
      </c>
      <c r="K112" s="6" t="n">
        <f aca="false">PRODUCT(IF(B112=1,0.8,1-0.8),IF(A112=1,0.8,1-0.8),
          IF(C112=1,0.8,1-0.8),
          IF(D112=1,0.8,1-0.8),
          IF(E112=1,0.8,1-0.8),
          IF(F112=1,0.8,1-0.8),
          IF(G112=1,0.8,1-0.8)) * M112</f>
        <v>0</v>
      </c>
      <c r="L112" s="6" t="n">
        <f aca="false">PRODUCT(IF(B112=1,0.9,1-0.9), IF(A112=1,0.9,1-0.9),
          IF(C112=1,0.9,1-0.9),
          IF(D112=1,0.9,1-0.9),
          IF(E112=1,0.9,1-0.9),
          IF(F112=1,0.9,1-0.9),
          IF(G112=1,0.9,1-0.9)) * M112</f>
        <v>0</v>
      </c>
      <c r="M112" s="2" t="n">
        <f aca="false">IF(C112=1,1,IF(AND(B112=1,A112=1,G112=1,D112=1),1,IF(AND(B112=1,A112=1,F112=1,D112=1,E112=1)
,1,0)))</f>
        <v>0</v>
      </c>
    </row>
    <row r="113" customFormat="false" ht="14.25" hidden="false" customHeight="false" outlineLevel="0" collapsed="false">
      <c r="A113" s="2" t="n">
        <v>1</v>
      </c>
      <c r="B113" s="2" t="n">
        <v>1</v>
      </c>
      <c r="C113" s="2" t="n">
        <v>0</v>
      </c>
      <c r="D113" s="2" t="n">
        <v>1</v>
      </c>
      <c r="E113" s="2" t="n">
        <v>1</v>
      </c>
      <c r="F113" s="2" t="n">
        <v>0</v>
      </c>
      <c r="G113" s="2" t="n">
        <v>1</v>
      </c>
      <c r="H113" s="1" t="n">
        <f aca="false"> ((($A113*$A$2)+(1-$A$2)*(1-$A113))* (($B113*$B$2)+(1-$B$2)*(1-$B113)) *(($C113*$C$2)+(1-
$C$2)*(1-$C113))* (($D113*$D$2)+(1-$D$2)*(1-$D113))* (($E113*$E$2)+(1-$E$2)*(1-$E113))*
(($F113*$F$2)+(1-$F$2)*(1-$F113))* (($G113*$G$2)+(1-$G$2)*(1-$G113)))*$M113</f>
        <v>0.0151263</v>
      </c>
      <c r="I113" s="6" t="n">
        <f aca="false">PRODUCT(IF(B113=1,0.6,1-0.6), IF(A113=1,0.6,1-0.6),
        IF(C113=1,0.6,1-0.6),
        IF(D113=1,0.6,1-0.6),
        IF(E113=1,0.6,1-0.6),
        IF(F113=1,0.6,1-0.6),
        IF(G113=1,0.6,1-0.6)) * M113</f>
        <v>0.0124416</v>
      </c>
      <c r="J113" s="6" t="n">
        <f aca="false">PRODUCT(IF(B113=1,0.7,1-0.7), IF(A113=1,0.7,1-0.7),
          IF(C113=1,0.7,1-0.7),
          IF(D113=1,0.7,1-0.7),
          IF(E113=1,0.7,1-0.7),
          IF(F113=1,0.7,1-0.7),
          IF(G113=1,0.7,1-0.7)) * M113</f>
        <v>0.0151263</v>
      </c>
      <c r="K113" s="6" t="n">
        <f aca="false">PRODUCT(IF(B113=1,0.8,1-0.8),IF(A113=1,0.8,1-0.8),
          IF(C113=1,0.8,1-0.8),
          IF(D113=1,0.8,1-0.8),
          IF(E113=1,0.8,1-0.8),
          IF(F113=1,0.8,1-0.8),
          IF(G113=1,0.8,1-0.8)) * M113</f>
        <v>0.0131072</v>
      </c>
      <c r="L113" s="6" t="n">
        <f aca="false">PRODUCT(IF(B113=1,0.9,1-0.9), IF(A113=1,0.9,1-0.9),
          IF(C113=1,0.9,1-0.9),
          IF(D113=1,0.9,1-0.9),
          IF(E113=1,0.9,1-0.9),
          IF(F113=1,0.9,1-0.9),
          IF(G113=1,0.9,1-0.9)) * M113</f>
        <v>0.0059049</v>
      </c>
      <c r="M113" s="2" t="n">
        <f aca="false">IF(C113=1,1,IF(AND(B113=1,A113=1,G113=1,D113=1),1,IF(AND(B113=1,A113=1,F113=1,D113=1,E113=1)
,1,0)))</f>
        <v>1</v>
      </c>
    </row>
    <row r="114" customFormat="false" ht="14.25" hidden="false" customHeight="false" outlineLevel="0" collapsed="false">
      <c r="A114" s="2" t="n">
        <v>1</v>
      </c>
      <c r="B114" s="2" t="n">
        <v>1</v>
      </c>
      <c r="C114" s="2" t="n">
        <v>0</v>
      </c>
      <c r="D114" s="2" t="n">
        <v>1</v>
      </c>
      <c r="E114" s="2" t="n">
        <v>1</v>
      </c>
      <c r="F114" s="2" t="n">
        <v>1</v>
      </c>
      <c r="G114" s="2" t="n">
        <v>0</v>
      </c>
      <c r="H114" s="1" t="n">
        <f aca="false"> ((($A114*$A$2)+(1-$A$2)*(1-$A114))* (($B114*$B$2)+(1-$B$2)*(1-$B114)) *(($C114*$C$2)+(1-
$C$2)*(1-$C114))* (($D114*$D$2)+(1-$D$2)*(1-$D114))* (($E114*$E$2)+(1-$E$2)*(1-$E114))*
(($F114*$F$2)+(1-$F$2)*(1-$F114))* (($G114*$G$2)+(1-$G$2)*(1-$G114)))*$M114</f>
        <v>0.0151263</v>
      </c>
      <c r="I114" s="6" t="n">
        <f aca="false">PRODUCT(IF(B114=1,0.6,1-0.6), IF(A114=1,0.6,1-0.6),
        IF(C114=1,0.6,1-0.6),
        IF(D114=1,0.6,1-0.6),
        IF(E114=1,0.6,1-0.6),
        IF(F114=1,0.6,1-0.6),
        IF(G114=1,0.6,1-0.6)) * M114</f>
        <v>0.0124416</v>
      </c>
      <c r="J114" s="6" t="n">
        <f aca="false">PRODUCT(IF(B114=1,0.7,1-0.7), IF(A114=1,0.7,1-0.7),
          IF(C114=1,0.7,1-0.7),
          IF(D114=1,0.7,1-0.7),
          IF(E114=1,0.7,1-0.7),
          IF(F114=1,0.7,1-0.7),
          IF(G114=1,0.7,1-0.7)) * M114</f>
        <v>0.0151263</v>
      </c>
      <c r="K114" s="6" t="n">
        <f aca="false">PRODUCT(IF(B114=1,0.8,1-0.8),IF(A114=1,0.8,1-0.8),
          IF(C114=1,0.8,1-0.8),
          IF(D114=1,0.8,1-0.8),
          IF(E114=1,0.8,1-0.8),
          IF(F114=1,0.8,1-0.8),
          IF(G114=1,0.8,1-0.8)) * M114</f>
        <v>0.0131072</v>
      </c>
      <c r="L114" s="6" t="n">
        <f aca="false">PRODUCT(IF(B114=1,0.9,1-0.9), IF(A114=1,0.9,1-0.9),
          IF(C114=1,0.9,1-0.9),
          IF(D114=1,0.9,1-0.9),
          IF(E114=1,0.9,1-0.9),
          IF(F114=1,0.9,1-0.9),
          IF(G114=1,0.9,1-0.9)) * M114</f>
        <v>0.0059049</v>
      </c>
      <c r="M114" s="2" t="n">
        <f aca="false">IF(C114=1,1,IF(AND(B114=1,A114=1,G114=1,D114=1),1,IF(AND(B114=1,A114=1,F114=1,D114=1,E114=1)
,1,0)))</f>
        <v>1</v>
      </c>
    </row>
    <row r="115" customFormat="false" ht="14.25" hidden="false" customHeight="false" outlineLevel="0" collapsed="false">
      <c r="A115" s="2" t="n">
        <v>1</v>
      </c>
      <c r="B115" s="2" t="n">
        <v>1</v>
      </c>
      <c r="C115" s="2" t="n">
        <v>0</v>
      </c>
      <c r="D115" s="2" t="n">
        <v>1</v>
      </c>
      <c r="E115" s="2" t="n">
        <v>1</v>
      </c>
      <c r="F115" s="2" t="n">
        <v>1</v>
      </c>
      <c r="G115" s="2" t="n">
        <v>1</v>
      </c>
      <c r="H115" s="1" t="n">
        <f aca="false"> ((($A115*$A$2)+(1-$A$2)*(1-$A115))* (($B115*$B$2)+(1-$B$2)*(1-$B115)) *(($C115*$C$2)+(1-
$C$2)*(1-$C115))* (($D115*$D$2)+(1-$D$2)*(1-$D115))* (($E115*$E$2)+(1-$E$2)*(1-$E115))*
(($F115*$F$2)+(1-$F$2)*(1-$F115))* (($G115*$G$2)+(1-$G$2)*(1-$G115)))*$M115</f>
        <v>0.0352947</v>
      </c>
      <c r="I115" s="6" t="n">
        <f aca="false">PRODUCT(IF(B115=1,0.6,1-0.6), IF(A115=1,0.6,1-0.6),
        IF(C115=1,0.6,1-0.6),
        IF(D115=1,0.6,1-0.6),
        IF(E115=1,0.6,1-0.6),
        IF(F115=1,0.6,1-0.6),
        IF(G115=1,0.6,1-0.6)) * M115</f>
        <v>0.0186624</v>
      </c>
      <c r="J115" s="6" t="n">
        <f aca="false">PRODUCT(IF(B115=1,0.7,1-0.7), IF(A115=1,0.7,1-0.7),
          IF(C115=1,0.7,1-0.7),
          IF(D115=1,0.7,1-0.7),
          IF(E115=1,0.7,1-0.7),
          IF(F115=1,0.7,1-0.7),
          IF(G115=1,0.7,1-0.7)) * M115</f>
        <v>0.0352947</v>
      </c>
      <c r="K115" s="6" t="n">
        <f aca="false">PRODUCT(IF(B115=1,0.8,1-0.8),IF(A115=1,0.8,1-0.8),
          IF(C115=1,0.8,1-0.8),
          IF(D115=1,0.8,1-0.8),
          IF(E115=1,0.8,1-0.8),
          IF(F115=1,0.8,1-0.8),
          IF(G115=1,0.8,1-0.8)) * M115</f>
        <v>0.0524288</v>
      </c>
      <c r="L115" s="6" t="n">
        <f aca="false">PRODUCT(IF(B115=1,0.9,1-0.9), IF(A115=1,0.9,1-0.9),
          IF(C115=1,0.9,1-0.9),
          IF(D115=1,0.9,1-0.9),
          IF(E115=1,0.9,1-0.9),
          IF(F115=1,0.9,1-0.9),
          IF(G115=1,0.9,1-0.9)) * M115</f>
        <v>0.0531441</v>
      </c>
      <c r="M115" s="2" t="n">
        <f aca="false">IF(C115=1,1,IF(AND(B115=1,A115=1,G115=1,D115=1),1,IF(AND(B115=1,A115=1,F115=1,D115=1,E115=1)
,1,0)))</f>
        <v>1</v>
      </c>
    </row>
    <row r="116" customFormat="false" ht="14.25" hidden="false" customHeight="false" outlineLevel="0" collapsed="false">
      <c r="A116" s="2" t="n">
        <v>1</v>
      </c>
      <c r="B116" s="2" t="n">
        <v>1</v>
      </c>
      <c r="C116" s="2" t="n">
        <v>1</v>
      </c>
      <c r="D116" s="2" t="n">
        <v>0</v>
      </c>
      <c r="E116" s="2" t="n">
        <v>0</v>
      </c>
      <c r="F116" s="2" t="n">
        <v>0</v>
      </c>
      <c r="G116" s="2" t="n">
        <v>0</v>
      </c>
      <c r="H116" s="1" t="n">
        <f aca="false"> ((($A116*$A$2)+(1-$A$2)*(1-$A116))* (($B116*$B$2)+(1-$B$2)*(1-$B116)) *(($C116*$C$2)+(1-
$C$2)*(1-$C116))* (($D116*$D$2)+(1-$D$2)*(1-$D116))* (($E116*$E$2)+(1-$E$2)*(1-$E116))*
(($F116*$F$2)+(1-$F$2)*(1-$F116))* (($G116*$G$2)+(1-$G$2)*(1-$G116)))*$M116</f>
        <v>0.0027783</v>
      </c>
      <c r="I116" s="6" t="n">
        <f aca="false">PRODUCT(IF(B116=1,0.6,1-0.6), IF(A116=1,0.6,1-0.6),
        IF(C116=1,0.6,1-0.6),
        IF(D116=1,0.6,1-0.6),
        IF(E116=1,0.6,1-0.6),
        IF(F116=1,0.6,1-0.6),
        IF(G116=1,0.6,1-0.6)) * M116</f>
        <v>0.0055296</v>
      </c>
      <c r="J116" s="6" t="n">
        <f aca="false">PRODUCT(IF(B116=1,0.7,1-0.7), IF(A116=1,0.7,1-0.7),
          IF(C116=1,0.7,1-0.7),
          IF(D116=1,0.7,1-0.7),
          IF(E116=1,0.7,1-0.7),
          IF(F116=1,0.7,1-0.7),
          IF(G116=1,0.7,1-0.7)) * M116</f>
        <v>0.0027783</v>
      </c>
      <c r="K116" s="6" t="n">
        <f aca="false">PRODUCT(IF(B116=1,0.8,1-0.8),IF(A116=1,0.8,1-0.8),
          IF(C116=1,0.8,1-0.8),
          IF(D116=1,0.8,1-0.8),
          IF(E116=1,0.8,1-0.8),
          IF(F116=1,0.8,1-0.8),
          IF(G116=1,0.8,1-0.8)) * M116</f>
        <v>0.0008192</v>
      </c>
      <c r="L116" s="6" t="n">
        <f aca="false">PRODUCT(IF(B116=1,0.9,1-0.9), IF(A116=1,0.9,1-0.9),
          IF(C116=1,0.9,1-0.9),
          IF(D116=1,0.9,1-0.9),
          IF(E116=1,0.9,1-0.9),
          IF(F116=1,0.9,1-0.9),
          IF(G116=1,0.9,1-0.9)) * M116</f>
        <v>7.28999999999999E-005</v>
      </c>
      <c r="M116" s="2" t="n">
        <f aca="false">IF(C116=1,1,IF(AND(B116=1,A116=1,G116=1,D116=1),1,IF(AND(B116=1,A116=1,F116=1,D116=1,E116=1)
,1,0)))</f>
        <v>1</v>
      </c>
    </row>
    <row r="117" customFormat="false" ht="14.25" hidden="false" customHeight="false" outlineLevel="0" collapsed="false">
      <c r="A117" s="2" t="n">
        <v>1</v>
      </c>
      <c r="B117" s="2" t="n">
        <v>1</v>
      </c>
      <c r="C117" s="2" t="n">
        <v>1</v>
      </c>
      <c r="D117" s="2" t="n">
        <v>0</v>
      </c>
      <c r="E117" s="2" t="n">
        <v>0</v>
      </c>
      <c r="F117" s="2" t="n">
        <v>0</v>
      </c>
      <c r="G117" s="2" t="n">
        <v>1</v>
      </c>
      <c r="H117" s="1" t="n">
        <f aca="false"> ((($A117*$A$2)+(1-$A$2)*(1-$A117))* (($B117*$B$2)+(1-$B$2)*(1-$B117)) *(($C117*$C$2)+(1-
$C$2)*(1-$C117))* (($D117*$D$2)+(1-$D$2)*(1-$D117))* (($E117*$E$2)+(1-$E$2)*(1-$E117))*
(($F117*$F$2)+(1-$F$2)*(1-$F117))* (($G117*$G$2)+(1-$G$2)*(1-$G117)))*$M117</f>
        <v>0.0064827</v>
      </c>
      <c r="I117" s="6" t="n">
        <f aca="false">PRODUCT(IF(B117=1,0.6,1-0.6), IF(A117=1,0.6,1-0.6),
        IF(C117=1,0.6,1-0.6),
        IF(D117=1,0.6,1-0.6),
        IF(E117=1,0.6,1-0.6),
        IF(F117=1,0.6,1-0.6),
        IF(G117=1,0.6,1-0.6)) * M117</f>
        <v>0.0082944</v>
      </c>
      <c r="J117" s="6" t="n">
        <f aca="false">PRODUCT(IF(B117=1,0.7,1-0.7), IF(A117=1,0.7,1-0.7),
          IF(C117=1,0.7,1-0.7),
          IF(D117=1,0.7,1-0.7),
          IF(E117=1,0.7,1-0.7),
          IF(F117=1,0.7,1-0.7),
          IF(G117=1,0.7,1-0.7)) * M117</f>
        <v>0.0064827</v>
      </c>
      <c r="K117" s="6" t="n">
        <f aca="false">PRODUCT(IF(B117=1,0.8,1-0.8),IF(A117=1,0.8,1-0.8),
          IF(C117=1,0.8,1-0.8),
          IF(D117=1,0.8,1-0.8),
          IF(E117=1,0.8,1-0.8),
          IF(F117=1,0.8,1-0.8),
          IF(G117=1,0.8,1-0.8)) * M117</f>
        <v>0.0032768</v>
      </c>
      <c r="L117" s="6" t="n">
        <f aca="false">PRODUCT(IF(B117=1,0.9,1-0.9), IF(A117=1,0.9,1-0.9),
          IF(C117=1,0.9,1-0.9),
          IF(D117=1,0.9,1-0.9),
          IF(E117=1,0.9,1-0.9),
          IF(F117=1,0.9,1-0.9),
          IF(G117=1,0.9,1-0.9)) * M117</f>
        <v>0.0006561</v>
      </c>
      <c r="M117" s="2" t="n">
        <f aca="false">IF(C117=1,1,IF(AND(B117=1,A117=1,G117=1,D117=1),1,IF(AND(B117=1,A117=1,F117=1,D117=1,E117=1)
,1,0)))</f>
        <v>1</v>
      </c>
    </row>
    <row r="118" customFormat="false" ht="14.25" hidden="false" customHeight="false" outlineLevel="0" collapsed="false">
      <c r="A118" s="2" t="n">
        <v>1</v>
      </c>
      <c r="B118" s="2" t="n">
        <v>1</v>
      </c>
      <c r="C118" s="2" t="n">
        <v>1</v>
      </c>
      <c r="D118" s="2" t="n">
        <v>0</v>
      </c>
      <c r="E118" s="2" t="n">
        <v>0</v>
      </c>
      <c r="F118" s="2" t="n">
        <v>1</v>
      </c>
      <c r="G118" s="2" t="n">
        <v>0</v>
      </c>
      <c r="H118" s="1" t="n">
        <f aca="false"> ((($A118*$A$2)+(1-$A$2)*(1-$A118))* (($B118*$B$2)+(1-$B$2)*(1-$B118)) *(($C118*$C$2)+(1-
$C$2)*(1-$C118))* (($D118*$D$2)+(1-$D$2)*(1-$D118))* (($E118*$E$2)+(1-$E$2)*(1-$E118))*
(($F118*$F$2)+(1-$F$2)*(1-$F118))* (($G118*$G$2)+(1-$G$2)*(1-$G118)))*$M118</f>
        <v>0.0064827</v>
      </c>
      <c r="I118" s="6" t="n">
        <f aca="false">PRODUCT(IF(B118=1,0.6,1-0.6), IF(A118=1,0.6,1-0.6),
        IF(C118=1,0.6,1-0.6),
        IF(D118=1,0.6,1-0.6),
        IF(E118=1,0.6,1-0.6),
        IF(F118=1,0.6,1-0.6),
        IF(G118=1,0.6,1-0.6)) * M118</f>
        <v>0.0082944</v>
      </c>
      <c r="J118" s="6" t="n">
        <f aca="false">PRODUCT(IF(B118=1,0.7,1-0.7), IF(A118=1,0.7,1-0.7),
          IF(C118=1,0.7,1-0.7),
          IF(D118=1,0.7,1-0.7),
          IF(E118=1,0.7,1-0.7),
          IF(F118=1,0.7,1-0.7),
          IF(G118=1,0.7,1-0.7)) * M118</f>
        <v>0.0064827</v>
      </c>
      <c r="K118" s="6" t="n">
        <f aca="false">PRODUCT(IF(B118=1,0.8,1-0.8),IF(A118=1,0.8,1-0.8),
          IF(C118=1,0.8,1-0.8),
          IF(D118=1,0.8,1-0.8),
          IF(E118=1,0.8,1-0.8),
          IF(F118=1,0.8,1-0.8),
          IF(G118=1,0.8,1-0.8)) * M118</f>
        <v>0.0032768</v>
      </c>
      <c r="L118" s="6" t="n">
        <f aca="false">PRODUCT(IF(B118=1,0.9,1-0.9), IF(A118=1,0.9,1-0.9),
          IF(C118=1,0.9,1-0.9),
          IF(D118=1,0.9,1-0.9),
          IF(E118=1,0.9,1-0.9),
          IF(F118=1,0.9,1-0.9),
          IF(G118=1,0.9,1-0.9)) * M118</f>
        <v>0.0006561</v>
      </c>
      <c r="M118" s="2" t="n">
        <f aca="false">IF(C118=1,1,IF(AND(B118=1,A118=1,G118=1,D118=1),1,IF(AND(B118=1,A118=1,F118=1,D118=1,E118=1)
,1,0)))</f>
        <v>1</v>
      </c>
    </row>
    <row r="119" customFormat="false" ht="14.25" hidden="false" customHeight="false" outlineLevel="0" collapsed="false">
      <c r="A119" s="2" t="n">
        <v>1</v>
      </c>
      <c r="B119" s="2" t="n">
        <v>1</v>
      </c>
      <c r="C119" s="2" t="n">
        <v>1</v>
      </c>
      <c r="D119" s="2" t="n">
        <v>0</v>
      </c>
      <c r="E119" s="2" t="n">
        <v>0</v>
      </c>
      <c r="F119" s="2" t="n">
        <v>1</v>
      </c>
      <c r="G119" s="2" t="n">
        <v>1</v>
      </c>
      <c r="H119" s="1" t="n">
        <f aca="false"> ((($A119*$A$2)+(1-$A$2)*(1-$A119))* (($B119*$B$2)+(1-$B$2)*(1-$B119)) *(($C119*$C$2)+(1-
$C$2)*(1-$C119))* (($D119*$D$2)+(1-$D$2)*(1-$D119))* (($E119*$E$2)+(1-$E$2)*(1-$E119))*
(($F119*$F$2)+(1-$F$2)*(1-$F119))* (($G119*$G$2)+(1-$G$2)*(1-$G119)))*$M119</f>
        <v>0.0151263</v>
      </c>
      <c r="I119" s="6" t="n">
        <f aca="false">PRODUCT(IF(B119=1,0.6,1-0.6), IF(A119=1,0.6,1-0.6),
        IF(C119=1,0.6,1-0.6),
        IF(D119=1,0.6,1-0.6),
        IF(E119=1,0.6,1-0.6),
        IF(F119=1,0.6,1-0.6),
        IF(G119=1,0.6,1-0.6)) * M119</f>
        <v>0.0124416</v>
      </c>
      <c r="J119" s="6" t="n">
        <f aca="false">PRODUCT(IF(B119=1,0.7,1-0.7), IF(A119=1,0.7,1-0.7),
          IF(C119=1,0.7,1-0.7),
          IF(D119=1,0.7,1-0.7),
          IF(E119=1,0.7,1-0.7),
          IF(F119=1,0.7,1-0.7),
          IF(G119=1,0.7,1-0.7)) * M119</f>
        <v>0.0151263</v>
      </c>
      <c r="K119" s="6" t="n">
        <f aca="false">PRODUCT(IF(B119=1,0.8,1-0.8),IF(A119=1,0.8,1-0.8),
          IF(C119=1,0.8,1-0.8),
          IF(D119=1,0.8,1-0.8),
          IF(E119=1,0.8,1-0.8),
          IF(F119=1,0.8,1-0.8),
          IF(G119=1,0.8,1-0.8)) * M119</f>
        <v>0.0131072</v>
      </c>
      <c r="L119" s="6" t="n">
        <f aca="false">PRODUCT(IF(B119=1,0.9,1-0.9), IF(A119=1,0.9,1-0.9),
          IF(C119=1,0.9,1-0.9),
          IF(D119=1,0.9,1-0.9),
          IF(E119=1,0.9,1-0.9),
          IF(F119=1,0.9,1-0.9),
          IF(G119=1,0.9,1-0.9)) * M119</f>
        <v>0.0059049</v>
      </c>
      <c r="M119" s="2" t="n">
        <f aca="false">IF(C119=1,1,IF(AND(B119=1,A119=1,G119=1,D119=1),1,IF(AND(B119=1,A119=1,F119=1,D119=1,E119=1)
,1,0)))</f>
        <v>1</v>
      </c>
    </row>
    <row r="120" customFormat="false" ht="14.25" hidden="false" customHeight="false" outlineLevel="0" collapsed="false">
      <c r="A120" s="2" t="n">
        <v>1</v>
      </c>
      <c r="B120" s="2" t="n">
        <v>1</v>
      </c>
      <c r="C120" s="2" t="n">
        <v>1</v>
      </c>
      <c r="D120" s="2" t="n">
        <v>0</v>
      </c>
      <c r="E120" s="2" t="n">
        <v>1</v>
      </c>
      <c r="F120" s="2" t="n">
        <v>0</v>
      </c>
      <c r="G120" s="2" t="n">
        <v>0</v>
      </c>
      <c r="H120" s="1" t="n">
        <f aca="false"> ((($A120*$A$2)+(1-$A$2)*(1-$A120))* (($B120*$B$2)+(1-$B$2)*(1-$B120)) *(($C120*$C$2)+(1-
$C$2)*(1-$C120))* (($D120*$D$2)+(1-$D$2)*(1-$D120))* (($E120*$E$2)+(1-$E$2)*(1-$E120))*
(($F120*$F$2)+(1-$F$2)*(1-$F120))* (($G120*$G$2)+(1-$G$2)*(1-$G120)))*$M120</f>
        <v>0.0064827</v>
      </c>
      <c r="I120" s="6" t="n">
        <f aca="false">PRODUCT(IF(B120=1,0.6,1-0.6), IF(A120=1,0.6,1-0.6),
        IF(C120=1,0.6,1-0.6),
        IF(D120=1,0.6,1-0.6),
        IF(E120=1,0.6,1-0.6),
        IF(F120=1,0.6,1-0.6),
        IF(G120=1,0.6,1-0.6)) * M120</f>
        <v>0.0082944</v>
      </c>
      <c r="J120" s="6" t="n">
        <f aca="false">PRODUCT(IF(B120=1,0.7,1-0.7), IF(A120=1,0.7,1-0.7),
          IF(C120=1,0.7,1-0.7),
          IF(D120=1,0.7,1-0.7),
          IF(E120=1,0.7,1-0.7),
          IF(F120=1,0.7,1-0.7),
          IF(G120=1,0.7,1-0.7)) * M120</f>
        <v>0.0064827</v>
      </c>
      <c r="K120" s="6" t="n">
        <f aca="false">PRODUCT(IF(B120=1,0.8,1-0.8),IF(A120=1,0.8,1-0.8),
          IF(C120=1,0.8,1-0.8),
          IF(D120=1,0.8,1-0.8),
          IF(E120=1,0.8,1-0.8),
          IF(F120=1,0.8,1-0.8),
          IF(G120=1,0.8,1-0.8)) * M120</f>
        <v>0.0032768</v>
      </c>
      <c r="L120" s="6" t="n">
        <f aca="false">PRODUCT(IF(B120=1,0.9,1-0.9), IF(A120=1,0.9,1-0.9),
          IF(C120=1,0.9,1-0.9),
          IF(D120=1,0.9,1-0.9),
          IF(E120=1,0.9,1-0.9),
          IF(F120=1,0.9,1-0.9),
          IF(G120=1,0.9,1-0.9)) * M120</f>
        <v>0.0006561</v>
      </c>
      <c r="M120" s="2" t="n">
        <f aca="false">IF(C120=1,1,IF(AND(B120=1,A120=1,G120=1,D120=1),1,IF(AND(B120=1,A120=1,F120=1,D120=1,E120=1)
,1,0)))</f>
        <v>1</v>
      </c>
    </row>
    <row r="121" customFormat="false" ht="14.25" hidden="false" customHeight="false" outlineLevel="0" collapsed="false">
      <c r="A121" s="2" t="n">
        <v>1</v>
      </c>
      <c r="B121" s="2" t="n">
        <v>1</v>
      </c>
      <c r="C121" s="2" t="n">
        <v>1</v>
      </c>
      <c r="D121" s="2" t="n">
        <v>0</v>
      </c>
      <c r="E121" s="2" t="n">
        <v>1</v>
      </c>
      <c r="F121" s="2" t="n">
        <v>0</v>
      </c>
      <c r="G121" s="2" t="n">
        <v>1</v>
      </c>
      <c r="H121" s="1" t="n">
        <f aca="false"> ((($A121*$A$2)+(1-$A$2)*(1-$A121))* (($B121*$B$2)+(1-$B$2)*(1-$B121)) *(($C121*$C$2)+(1-
$C$2)*(1-$C121))* (($D121*$D$2)+(1-$D$2)*(1-$D121))* (($E121*$E$2)+(1-$E$2)*(1-$E121))*
(($F121*$F$2)+(1-$F$2)*(1-$F121))* (($G121*$G$2)+(1-$G$2)*(1-$G121)))*$M121</f>
        <v>0.0151263</v>
      </c>
      <c r="I121" s="6" t="n">
        <f aca="false">PRODUCT(IF(B121=1,0.6,1-0.6), IF(A121=1,0.6,1-0.6),
        IF(C121=1,0.6,1-0.6),
        IF(D121=1,0.6,1-0.6),
        IF(E121=1,0.6,1-0.6),
        IF(F121=1,0.6,1-0.6),
        IF(G121=1,0.6,1-0.6)) * M121</f>
        <v>0.0124416</v>
      </c>
      <c r="J121" s="6" t="n">
        <f aca="false">PRODUCT(IF(B121=1,0.7,1-0.7), IF(A121=1,0.7,1-0.7),
          IF(C121=1,0.7,1-0.7),
          IF(D121=1,0.7,1-0.7),
          IF(E121=1,0.7,1-0.7),
          IF(F121=1,0.7,1-0.7),
          IF(G121=1,0.7,1-0.7)) * M121</f>
        <v>0.0151263</v>
      </c>
      <c r="K121" s="6" t="n">
        <f aca="false">PRODUCT(IF(B121=1,0.8,1-0.8),IF(A121=1,0.8,1-0.8),
          IF(C121=1,0.8,1-0.8),
          IF(D121=1,0.8,1-0.8),
          IF(E121=1,0.8,1-0.8),
          IF(F121=1,0.8,1-0.8),
          IF(G121=1,0.8,1-0.8)) * M121</f>
        <v>0.0131072</v>
      </c>
      <c r="L121" s="6" t="n">
        <f aca="false">PRODUCT(IF(B121=1,0.9,1-0.9), IF(A121=1,0.9,1-0.9),
          IF(C121=1,0.9,1-0.9),
          IF(D121=1,0.9,1-0.9),
          IF(E121=1,0.9,1-0.9),
          IF(F121=1,0.9,1-0.9),
          IF(G121=1,0.9,1-0.9)) * M121</f>
        <v>0.0059049</v>
      </c>
      <c r="M121" s="2" t="n">
        <f aca="false">IF(C121=1,1,IF(AND(B121=1,A121=1,G121=1,D121=1),1,IF(AND(B121=1,A121=1,F121=1,D121=1,E121=1)
,1,0)))</f>
        <v>1</v>
      </c>
    </row>
    <row r="122" customFormat="false" ht="14.25" hidden="false" customHeight="false" outlineLevel="0" collapsed="false">
      <c r="A122" s="2" t="n">
        <v>1</v>
      </c>
      <c r="B122" s="2" t="n">
        <v>1</v>
      </c>
      <c r="C122" s="2" t="n">
        <v>1</v>
      </c>
      <c r="D122" s="2" t="n">
        <v>0</v>
      </c>
      <c r="E122" s="2" t="n">
        <v>1</v>
      </c>
      <c r="F122" s="2" t="n">
        <v>1</v>
      </c>
      <c r="G122" s="2" t="n">
        <v>0</v>
      </c>
      <c r="H122" s="1" t="n">
        <f aca="false"> ((($A122*$A$2)+(1-$A$2)*(1-$A122))* (($B122*$B$2)+(1-$B$2)*(1-$B122)) *(($C122*$C$2)+(1-
$C$2)*(1-$C122))* (($D122*$D$2)+(1-$D$2)*(1-$D122))* (($E122*$E$2)+(1-$E$2)*(1-$E122))*
(($F122*$F$2)+(1-$F$2)*(1-$F122))* (($G122*$G$2)+(1-$G$2)*(1-$G122)))*$M122</f>
        <v>0.0151263</v>
      </c>
      <c r="I122" s="6" t="n">
        <f aca="false">PRODUCT(IF(B122=1,0.6,1-0.6), IF(A122=1,0.6,1-0.6),
        IF(C122=1,0.6,1-0.6),
        IF(D122=1,0.6,1-0.6),
        IF(E122=1,0.6,1-0.6),
        IF(F122=1,0.6,1-0.6),
        IF(G122=1,0.6,1-0.6)) * M122</f>
        <v>0.0124416</v>
      </c>
      <c r="J122" s="6" t="n">
        <f aca="false">PRODUCT(IF(B122=1,0.7,1-0.7), IF(A122=1,0.7,1-0.7),
          IF(C122=1,0.7,1-0.7),
          IF(D122=1,0.7,1-0.7),
          IF(E122=1,0.7,1-0.7),
          IF(F122=1,0.7,1-0.7),
          IF(G122=1,0.7,1-0.7)) * M122</f>
        <v>0.0151263</v>
      </c>
      <c r="K122" s="6" t="n">
        <f aca="false">PRODUCT(IF(B122=1,0.8,1-0.8),IF(A122=1,0.8,1-0.8),
          IF(C122=1,0.8,1-0.8),
          IF(D122=1,0.8,1-0.8),
          IF(E122=1,0.8,1-0.8),
          IF(F122=1,0.8,1-0.8),
          IF(G122=1,0.8,1-0.8)) * M122</f>
        <v>0.0131072</v>
      </c>
      <c r="L122" s="6" t="n">
        <f aca="false">PRODUCT(IF(B122=1,0.9,1-0.9), IF(A122=1,0.9,1-0.9),
          IF(C122=1,0.9,1-0.9),
          IF(D122=1,0.9,1-0.9),
          IF(E122=1,0.9,1-0.9),
          IF(F122=1,0.9,1-0.9),
          IF(G122=1,0.9,1-0.9)) * M122</f>
        <v>0.0059049</v>
      </c>
      <c r="M122" s="2" t="n">
        <f aca="false">IF(C122=1,1,IF(AND(B122=1,A122=1,G122=1,D122=1),1,IF(AND(B122=1,A122=1,F122=1,D122=1,E122=1)
,1,0)))</f>
        <v>1</v>
      </c>
    </row>
    <row r="123" customFormat="false" ht="14.25" hidden="false" customHeight="false" outlineLevel="0" collapsed="false">
      <c r="A123" s="2" t="n">
        <v>1</v>
      </c>
      <c r="B123" s="2" t="n">
        <v>1</v>
      </c>
      <c r="C123" s="2" t="n">
        <v>1</v>
      </c>
      <c r="D123" s="2" t="n">
        <v>0</v>
      </c>
      <c r="E123" s="2" t="n">
        <v>1</v>
      </c>
      <c r="F123" s="2" t="n">
        <v>1</v>
      </c>
      <c r="G123" s="2" t="n">
        <v>1</v>
      </c>
      <c r="H123" s="1" t="n">
        <f aca="false"> ((($A123*$A$2)+(1-$A$2)*(1-$A123))* (($B123*$B$2)+(1-$B$2)*(1-$B123)) *(($C123*$C$2)+(1-
$C$2)*(1-$C123))* (($D123*$D$2)+(1-$D$2)*(1-$D123))* (($E123*$E$2)+(1-$E$2)*(1-$E123))*
(($F123*$F$2)+(1-$F$2)*(1-$F123))* (($G123*$G$2)+(1-$G$2)*(1-$G123)))*$M123</f>
        <v>0.0352947</v>
      </c>
      <c r="I123" s="6" t="n">
        <f aca="false">PRODUCT(IF(B123=1,0.6,1-0.6), IF(A123=1,0.6,1-0.6),
        IF(C123=1,0.6,1-0.6),
        IF(D123=1,0.6,1-0.6),
        IF(E123=1,0.6,1-0.6),
        IF(F123=1,0.6,1-0.6),
        IF(G123=1,0.6,1-0.6)) * M123</f>
        <v>0.0186624</v>
      </c>
      <c r="J123" s="6" t="n">
        <f aca="false">PRODUCT(IF(B123=1,0.7,1-0.7), IF(A123=1,0.7,1-0.7),
          IF(C123=1,0.7,1-0.7),
          IF(D123=1,0.7,1-0.7),
          IF(E123=1,0.7,1-0.7),
          IF(F123=1,0.7,1-0.7),
          IF(G123=1,0.7,1-0.7)) * M123</f>
        <v>0.0352947</v>
      </c>
      <c r="K123" s="6" t="n">
        <f aca="false">PRODUCT(IF(B123=1,0.8,1-0.8),IF(A123=1,0.8,1-0.8),
          IF(C123=1,0.8,1-0.8),
          IF(D123=1,0.8,1-0.8),
          IF(E123=1,0.8,1-0.8),
          IF(F123=1,0.8,1-0.8),
          IF(G123=1,0.8,1-0.8)) * M123</f>
        <v>0.0524288</v>
      </c>
      <c r="L123" s="6" t="n">
        <f aca="false">PRODUCT(IF(B123=1,0.9,1-0.9), IF(A123=1,0.9,1-0.9),
          IF(C123=1,0.9,1-0.9),
          IF(D123=1,0.9,1-0.9),
          IF(E123=1,0.9,1-0.9),
          IF(F123=1,0.9,1-0.9),
          IF(G123=1,0.9,1-0.9)) * M123</f>
        <v>0.0531441</v>
      </c>
      <c r="M123" s="2" t="n">
        <f aca="false">IF(C123=1,1,IF(AND(B123=1,A123=1,G123=1,D123=1),1,IF(AND(B123=1,A123=1,F123=1,D123=1,E123=1)
,1,0)))</f>
        <v>1</v>
      </c>
    </row>
    <row r="124" customFormat="false" ht="14.25" hidden="false" customHeight="false" outlineLevel="0" collapsed="false">
      <c r="A124" s="2" t="n">
        <v>1</v>
      </c>
      <c r="B124" s="2" t="n">
        <v>1</v>
      </c>
      <c r="C124" s="2" t="n">
        <v>1</v>
      </c>
      <c r="D124" s="2" t="n">
        <v>1</v>
      </c>
      <c r="E124" s="2" t="n">
        <v>0</v>
      </c>
      <c r="F124" s="2" t="n">
        <v>0</v>
      </c>
      <c r="G124" s="2" t="n">
        <v>0</v>
      </c>
      <c r="H124" s="1" t="n">
        <f aca="false"> ((($A124*$A$2)+(1-$A$2)*(1-$A124))* (($B124*$B$2)+(1-$B$2)*(1-$B124)) *(($C124*$C$2)+(1-
$C$2)*(1-$C124))* (($D124*$D$2)+(1-$D$2)*(1-$D124))* (($E124*$E$2)+(1-$E$2)*(1-$E124))*
(($F124*$F$2)+(1-$F$2)*(1-$F124))* (($G124*$G$2)+(1-$G$2)*(1-$G124)))*$M124</f>
        <v>0.0064827</v>
      </c>
      <c r="I124" s="6" t="n">
        <f aca="false">PRODUCT(IF(B124=1,0.6,1-0.6), IF(A124=1,0.6,1-0.6),
        IF(C124=1,0.6,1-0.6),
        IF(D124=1,0.6,1-0.6),
        IF(E124=1,0.6,1-0.6),
        IF(F124=1,0.6,1-0.6),
        IF(G124=1,0.6,1-0.6)) * M124</f>
        <v>0.0082944</v>
      </c>
      <c r="J124" s="6" t="n">
        <f aca="false">PRODUCT(IF(B124=1,0.7,1-0.7), IF(A124=1,0.7,1-0.7),
          IF(C124=1,0.7,1-0.7),
          IF(D124=1,0.7,1-0.7),
          IF(E124=1,0.7,1-0.7),
          IF(F124=1,0.7,1-0.7),
          IF(G124=1,0.7,1-0.7)) * M124</f>
        <v>0.0064827</v>
      </c>
      <c r="K124" s="6" t="n">
        <f aca="false">PRODUCT(IF(B124=1,0.8,1-0.8),IF(A124=1,0.8,1-0.8),
          IF(C124=1,0.8,1-0.8),
          IF(D124=1,0.8,1-0.8),
          IF(E124=1,0.8,1-0.8),
          IF(F124=1,0.8,1-0.8),
          IF(G124=1,0.8,1-0.8)) * M124</f>
        <v>0.0032768</v>
      </c>
      <c r="L124" s="6" t="n">
        <f aca="false">PRODUCT(IF(B124=1,0.9,1-0.9), IF(A124=1,0.9,1-0.9),
          IF(C124=1,0.9,1-0.9),
          IF(D124=1,0.9,1-0.9),
          IF(E124=1,0.9,1-0.9),
          IF(F124=1,0.9,1-0.9),
          IF(G124=1,0.9,1-0.9)) * M124</f>
        <v>0.0006561</v>
      </c>
      <c r="M124" s="2" t="n">
        <f aca="false">IF(C124=1,1,IF(AND(B124=1,A124=1,G124=1,D124=1),1,IF(AND(B124=1,A124=1,F124=1,D124=1,E124=1)
,1,0)))</f>
        <v>1</v>
      </c>
    </row>
    <row r="125" customFormat="false" ht="14.25" hidden="false" customHeight="false" outlineLevel="0" collapsed="false">
      <c r="A125" s="2" t="n">
        <v>1</v>
      </c>
      <c r="B125" s="2" t="n">
        <v>1</v>
      </c>
      <c r="C125" s="2" t="n">
        <v>1</v>
      </c>
      <c r="D125" s="2" t="n">
        <v>1</v>
      </c>
      <c r="E125" s="2" t="n">
        <v>0</v>
      </c>
      <c r="F125" s="2" t="n">
        <v>0</v>
      </c>
      <c r="G125" s="2" t="n">
        <v>1</v>
      </c>
      <c r="H125" s="1" t="n">
        <f aca="false"> ((($A125*$A$2)+(1-$A$2)*(1-$A125))* (($B125*$B$2)+(1-$B$2)*(1-$B125)) *(($C125*$C$2)+(1-
$C$2)*(1-$C125))* (($D125*$D$2)+(1-$D$2)*(1-$D125))* (($E125*$E$2)+(1-$E$2)*(1-$E125))*
(($F125*$F$2)+(1-$F$2)*(1-$F125))* (($G125*$G$2)+(1-$G$2)*(1-$G125)))*$M125</f>
        <v>0.0151263</v>
      </c>
      <c r="I125" s="6" t="n">
        <f aca="false">PRODUCT(IF(B125=1,0.6,1-0.6), IF(A125=1,0.6,1-0.6),
        IF(C125=1,0.6,1-0.6),
        IF(D125=1,0.6,1-0.6),
        IF(E125=1,0.6,1-0.6),
        IF(F125=1,0.6,1-0.6),
        IF(G125=1,0.6,1-0.6)) * M125</f>
        <v>0.0124416</v>
      </c>
      <c r="J125" s="6" t="n">
        <f aca="false">PRODUCT(IF(B125=1,0.7,1-0.7), IF(A125=1,0.7,1-0.7),
          IF(C125=1,0.7,1-0.7),
          IF(D125=1,0.7,1-0.7),
          IF(E125=1,0.7,1-0.7),
          IF(F125=1,0.7,1-0.7),
          IF(G125=1,0.7,1-0.7)) * M125</f>
        <v>0.0151263</v>
      </c>
      <c r="K125" s="6" t="n">
        <f aca="false">PRODUCT(IF(B125=1,0.8,1-0.8),IF(A125=1,0.8,1-0.8),
          IF(C125=1,0.8,1-0.8),
          IF(D125=1,0.8,1-0.8),
          IF(E125=1,0.8,1-0.8),
          IF(F125=1,0.8,1-0.8),
          IF(G125=1,0.8,1-0.8)) * M125</f>
        <v>0.0131072</v>
      </c>
      <c r="L125" s="6" t="n">
        <f aca="false">PRODUCT(IF(B125=1,0.9,1-0.9), IF(A125=1,0.9,1-0.9),
          IF(C125=1,0.9,1-0.9),
          IF(D125=1,0.9,1-0.9),
          IF(E125=1,0.9,1-0.9),
          IF(F125=1,0.9,1-0.9),
          IF(G125=1,0.9,1-0.9)) * M125</f>
        <v>0.0059049</v>
      </c>
      <c r="M125" s="2" t="n">
        <f aca="false">IF(C125=1,1,IF(AND(B125=1,A125=1,G125=1,D125=1),1,IF(AND(B125=1,A125=1,F125=1,D125=1,E125=1)
,1,0)))</f>
        <v>1</v>
      </c>
    </row>
    <row r="126" customFormat="false" ht="14.25" hidden="false" customHeight="false" outlineLevel="0" collapsed="false">
      <c r="A126" s="2" t="n">
        <v>1</v>
      </c>
      <c r="B126" s="2" t="n">
        <v>1</v>
      </c>
      <c r="C126" s="2" t="n">
        <v>1</v>
      </c>
      <c r="D126" s="2" t="n">
        <v>1</v>
      </c>
      <c r="E126" s="2" t="n">
        <v>0</v>
      </c>
      <c r="F126" s="2" t="n">
        <v>1</v>
      </c>
      <c r="G126" s="2" t="n">
        <v>0</v>
      </c>
      <c r="H126" s="1" t="n">
        <f aca="false"> ((($A126*$A$2)+(1-$A$2)*(1-$A126))* (($B126*$B$2)+(1-$B$2)*(1-$B126)) *(($C126*$C$2)+(1-
$C$2)*(1-$C126))* (($D126*$D$2)+(1-$D$2)*(1-$D126))* (($E126*$E$2)+(1-$E$2)*(1-$E126))*
(($F126*$F$2)+(1-$F$2)*(1-$F126))* (($G126*$G$2)+(1-$G$2)*(1-$G126)))*$M126</f>
        <v>0.0151263</v>
      </c>
      <c r="I126" s="6" t="n">
        <f aca="false">PRODUCT(IF(B126=1,0.6,1-0.6), IF(A126=1,0.6,1-0.6),
        IF(C126=1,0.6,1-0.6),
        IF(D126=1,0.6,1-0.6),
        IF(E126=1,0.6,1-0.6),
        IF(F126=1,0.6,1-0.6),
        IF(G126=1,0.6,1-0.6)) * M126</f>
        <v>0.0124416</v>
      </c>
      <c r="J126" s="6" t="n">
        <f aca="false">PRODUCT(IF(B126=1,0.7,1-0.7), IF(A126=1,0.7,1-0.7),
          IF(C126=1,0.7,1-0.7),
          IF(D126=1,0.7,1-0.7),
          IF(E126=1,0.7,1-0.7),
          IF(F126=1,0.7,1-0.7),
          IF(G126=1,0.7,1-0.7)) * M126</f>
        <v>0.0151263</v>
      </c>
      <c r="K126" s="6" t="n">
        <f aca="false">PRODUCT(IF(B126=1,0.8,1-0.8),IF(A126=1,0.8,1-0.8),
          IF(C126=1,0.8,1-0.8),
          IF(D126=1,0.8,1-0.8),
          IF(E126=1,0.8,1-0.8),
          IF(F126=1,0.8,1-0.8),
          IF(G126=1,0.8,1-0.8)) * M126</f>
        <v>0.0131072</v>
      </c>
      <c r="L126" s="6" t="n">
        <f aca="false">PRODUCT(IF(B126=1,0.9,1-0.9), IF(A126=1,0.9,1-0.9),
          IF(C126=1,0.9,1-0.9),
          IF(D126=1,0.9,1-0.9),
          IF(E126=1,0.9,1-0.9),
          IF(F126=1,0.9,1-0.9),
          IF(G126=1,0.9,1-0.9)) * M126</f>
        <v>0.0059049</v>
      </c>
      <c r="M126" s="2" t="n">
        <f aca="false">IF(C126=1,1,IF(AND(B126=1,A126=1,G126=1,D126=1),1,IF(AND(B126=1,A126=1,F126=1,D126=1,E126=1)
,1,0)))</f>
        <v>1</v>
      </c>
    </row>
    <row r="127" customFormat="false" ht="14.25" hidden="false" customHeight="false" outlineLevel="0" collapsed="false">
      <c r="A127" s="2" t="n">
        <v>1</v>
      </c>
      <c r="B127" s="2" t="n">
        <v>1</v>
      </c>
      <c r="C127" s="2" t="n">
        <v>1</v>
      </c>
      <c r="D127" s="2" t="n">
        <v>1</v>
      </c>
      <c r="E127" s="2" t="n">
        <v>0</v>
      </c>
      <c r="F127" s="2" t="n">
        <v>1</v>
      </c>
      <c r="G127" s="2" t="n">
        <v>1</v>
      </c>
      <c r="H127" s="1" t="n">
        <f aca="false"> ((($A127*$A$2)+(1-$A$2)*(1-$A127))* (($B127*$B$2)+(1-$B$2)*(1-$B127)) *(($C127*$C$2)+(1-
$C$2)*(1-$C127))* (($D127*$D$2)+(1-$D$2)*(1-$D127))* (($E127*$E$2)+(1-$E$2)*(1-$E127))*
(($F127*$F$2)+(1-$F$2)*(1-$F127))* (($G127*$G$2)+(1-$G$2)*(1-$G127)))*$M127</f>
        <v>0.0352947</v>
      </c>
      <c r="I127" s="6" t="n">
        <f aca="false">PRODUCT(IF(B127=1,0.6,1-0.6), IF(A127=1,0.6,1-0.6),
        IF(C127=1,0.6,1-0.6),
        IF(D127=1,0.6,1-0.6),
        IF(E127=1,0.6,1-0.6),
        IF(F127=1,0.6,1-0.6),
        IF(G127=1,0.6,1-0.6)) * M127</f>
        <v>0.0186624</v>
      </c>
      <c r="J127" s="6" t="n">
        <f aca="false">PRODUCT(IF(B127=1,0.7,1-0.7), IF(A127=1,0.7,1-0.7),
          IF(C127=1,0.7,1-0.7),
          IF(D127=1,0.7,1-0.7),
          IF(E127=1,0.7,1-0.7),
          IF(F127=1,0.7,1-0.7),
          IF(G127=1,0.7,1-0.7)) * M127</f>
        <v>0.0352947</v>
      </c>
      <c r="K127" s="6" t="n">
        <f aca="false">PRODUCT(IF(B127=1,0.8,1-0.8),IF(A127=1,0.8,1-0.8),
          IF(C127=1,0.8,1-0.8),
          IF(D127=1,0.8,1-0.8),
          IF(E127=1,0.8,1-0.8),
          IF(F127=1,0.8,1-0.8),
          IF(G127=1,0.8,1-0.8)) * M127</f>
        <v>0.0524288</v>
      </c>
      <c r="L127" s="6" t="n">
        <f aca="false">PRODUCT(IF(B127=1,0.9,1-0.9), IF(A127=1,0.9,1-0.9),
          IF(C127=1,0.9,1-0.9),
          IF(D127=1,0.9,1-0.9),
          IF(E127=1,0.9,1-0.9),
          IF(F127=1,0.9,1-0.9),
          IF(G127=1,0.9,1-0.9)) * M127</f>
        <v>0.0531441</v>
      </c>
      <c r="M127" s="2" t="n">
        <f aca="false">IF(C127=1,1,IF(AND(B127=1,A127=1,G127=1,D127=1),1,IF(AND(B127=1,A127=1,F127=1,D127=1,E127=1)
,1,0)))</f>
        <v>1</v>
      </c>
    </row>
    <row r="128" customFormat="false" ht="14.25" hidden="false" customHeight="false" outlineLevel="0" collapsed="false">
      <c r="A128" s="2" t="n">
        <v>1</v>
      </c>
      <c r="B128" s="2" t="n">
        <v>1</v>
      </c>
      <c r="C128" s="2" t="n">
        <v>1</v>
      </c>
      <c r="D128" s="2" t="n">
        <v>1</v>
      </c>
      <c r="E128" s="2" t="n">
        <v>1</v>
      </c>
      <c r="F128" s="2" t="n">
        <v>0</v>
      </c>
      <c r="G128" s="2" t="n">
        <v>0</v>
      </c>
      <c r="H128" s="1" t="n">
        <f aca="false"> ((($A128*$A$2)+(1-$A$2)*(1-$A128))* (($B128*$B$2)+(1-$B$2)*(1-$B128)) *(($C128*$C$2)+(1-
$C$2)*(1-$C128))* (($D128*$D$2)+(1-$D$2)*(1-$D128))* (($E128*$E$2)+(1-$E$2)*(1-$E128))*
(($F128*$F$2)+(1-$F$2)*(1-$F128))* (($G128*$G$2)+(1-$G$2)*(1-$G128)))*$M128</f>
        <v>0.0151263</v>
      </c>
      <c r="I128" s="6" t="n">
        <f aca="false">PRODUCT(IF(B128=1,0.6,1-0.6), IF(A128=1,0.6,1-0.6),
        IF(C128=1,0.6,1-0.6),
        IF(D128=1,0.6,1-0.6),
        IF(E128=1,0.6,1-0.6),
        IF(F128=1,0.6,1-0.6),
        IF(G128=1,0.6,1-0.6)) * M128</f>
        <v>0.0124416</v>
      </c>
      <c r="J128" s="6" t="n">
        <f aca="false">PRODUCT(IF(B128=1,0.7,1-0.7), IF(A128=1,0.7,1-0.7),
          IF(C128=1,0.7,1-0.7),
          IF(D128=1,0.7,1-0.7),
          IF(E128=1,0.7,1-0.7),
          IF(F128=1,0.7,1-0.7),
          IF(G128=1,0.7,1-0.7)) * M128</f>
        <v>0.0151263</v>
      </c>
      <c r="K128" s="6" t="n">
        <f aca="false">PRODUCT(IF(B128=1,0.8,1-0.8),IF(A128=1,0.8,1-0.8),
          IF(C128=1,0.8,1-0.8),
          IF(D128=1,0.8,1-0.8),
          IF(E128=1,0.8,1-0.8),
          IF(F128=1,0.8,1-0.8),
          IF(G128=1,0.8,1-0.8)) * M128</f>
        <v>0.0131072</v>
      </c>
      <c r="L128" s="6" t="n">
        <f aca="false">PRODUCT(IF(B128=1,0.9,1-0.9), IF(A128=1,0.9,1-0.9),
          IF(C128=1,0.9,1-0.9),
          IF(D128=1,0.9,1-0.9),
          IF(E128=1,0.9,1-0.9),
          IF(F128=1,0.9,1-0.9),
          IF(G128=1,0.9,1-0.9)) * M128</f>
        <v>0.0059049</v>
      </c>
      <c r="M128" s="2" t="n">
        <f aca="false">IF(C128=1,1,IF(AND(B128=1,A128=1,G128=1,D128=1),1,IF(AND(B128=1,A128=1,F128=1,D128=1,E128=1)
,1,0)))</f>
        <v>1</v>
      </c>
    </row>
    <row r="129" customFormat="false" ht="14.25" hidden="false" customHeight="false" outlineLevel="0" collapsed="false">
      <c r="A129" s="2" t="n">
        <v>1</v>
      </c>
      <c r="B129" s="2" t="n">
        <v>1</v>
      </c>
      <c r="C129" s="2" t="n">
        <v>1</v>
      </c>
      <c r="D129" s="2" t="n">
        <v>1</v>
      </c>
      <c r="E129" s="2" t="n">
        <v>1</v>
      </c>
      <c r="F129" s="2" t="n">
        <v>0</v>
      </c>
      <c r="G129" s="2" t="n">
        <v>1</v>
      </c>
      <c r="H129" s="1" t="n">
        <f aca="false"> ((($A129*$A$2)+(1-$A$2)*(1-$A129))* (($B129*$B$2)+(1-$B$2)*(1-$B129)) *(($C129*$C$2)+(1-
$C$2)*(1-$C129))* (($D129*$D$2)+(1-$D$2)*(1-$D129))* (($E129*$E$2)+(1-$E$2)*(1-$E129))*
(($F129*$F$2)+(1-$F$2)*(1-$F129))* (($G129*$G$2)+(1-$G$2)*(1-$G129)))*$M129</f>
        <v>0.0352947</v>
      </c>
      <c r="I129" s="6" t="n">
        <f aca="false">PRODUCT(IF(B129=1,0.6,1-0.6), IF(A129=1,0.6,1-0.6),
        IF(C129=1,0.6,1-0.6),
        IF(D129=1,0.6,1-0.6),
        IF(E129=1,0.6,1-0.6),
        IF(F129=1,0.6,1-0.6),
        IF(G129=1,0.6,1-0.6)) * M129</f>
        <v>0.0186624</v>
      </c>
      <c r="J129" s="6" t="n">
        <f aca="false">PRODUCT(IF(B129=1,0.7,1-0.7), IF(A129=1,0.7,1-0.7),
          IF(C129=1,0.7,1-0.7),
          IF(D129=1,0.7,1-0.7),
          IF(E129=1,0.7,1-0.7),
          IF(F129=1,0.7,1-0.7),
          IF(G129=1,0.7,1-0.7)) * M129</f>
        <v>0.0352947</v>
      </c>
      <c r="K129" s="6" t="n">
        <f aca="false">PRODUCT(IF(B129=1,0.8,1-0.8),IF(A129=1,0.8,1-0.8),
          IF(C129=1,0.8,1-0.8),
          IF(D129=1,0.8,1-0.8),
          IF(E129=1,0.8,1-0.8),
          IF(F129=1,0.8,1-0.8),
          IF(G129=1,0.8,1-0.8)) * M129</f>
        <v>0.0524288</v>
      </c>
      <c r="L129" s="6" t="n">
        <f aca="false">PRODUCT(IF(B129=1,0.9,1-0.9), IF(A129=1,0.9,1-0.9),
          IF(C129=1,0.9,1-0.9),
          IF(D129=1,0.9,1-0.9),
          IF(E129=1,0.9,1-0.9),
          IF(F129=1,0.9,1-0.9),
          IF(G129=1,0.9,1-0.9)) * M129</f>
        <v>0.0531441</v>
      </c>
      <c r="M129" s="2" t="n">
        <f aca="false">IF(C129=1,1,IF(AND(B129=1,A129=1,G129=1,D129=1),1,IF(AND(B129=1,A129=1,F129=1,D129=1,E129=1)
,1,0)))</f>
        <v>1</v>
      </c>
    </row>
    <row r="130" customFormat="false" ht="14.25" hidden="false" customHeight="false" outlineLevel="0" collapsed="false">
      <c r="A130" s="2" t="n">
        <v>1</v>
      </c>
      <c r="B130" s="2" t="n">
        <v>1</v>
      </c>
      <c r="C130" s="2" t="n">
        <v>1</v>
      </c>
      <c r="D130" s="2" t="n">
        <v>1</v>
      </c>
      <c r="E130" s="2" t="n">
        <v>1</v>
      </c>
      <c r="F130" s="2" t="n">
        <v>1</v>
      </c>
      <c r="G130" s="2" t="n">
        <v>0</v>
      </c>
      <c r="H130" s="1" t="n">
        <f aca="false"> ((($A130*$A$2)+(1-$A$2)*(1-$A130))* (($B130*$B$2)+(1-$B$2)*(1-$B130)) *(($C130*$C$2)+(1-
$C$2)*(1-$C130))* (($D130*$D$2)+(1-$D$2)*(1-$D130))* (($E130*$E$2)+(1-$E$2)*(1-$E130))*
(($F130*$F$2)+(1-$F$2)*(1-$F130))* (($G130*$G$2)+(1-$G$2)*(1-$G130)))*$M130</f>
        <v>0.0352947</v>
      </c>
      <c r="I130" s="6" t="n">
        <f aca="false">PRODUCT(IF(B130=1,0.6,1-0.6), IF(A130=1,0.6,1-0.6),
        IF(C130=1,0.6,1-0.6),
        IF(D130=1,0.6,1-0.6),
        IF(E130=1,0.6,1-0.6),
        IF(F130=1,0.6,1-0.6),
        IF(G130=1,0.6,1-0.6)) * M130</f>
        <v>0.0186624</v>
      </c>
      <c r="J130" s="6" t="n">
        <f aca="false">PRODUCT(IF(B130=1,0.7,1-0.7), IF(A130=1,0.7,1-0.7),
          IF(C130=1,0.7,1-0.7),
          IF(D130=1,0.7,1-0.7),
          IF(E130=1,0.7,1-0.7),
          IF(F130=1,0.7,1-0.7),
          IF(G130=1,0.7,1-0.7)) * M130</f>
        <v>0.0352947</v>
      </c>
      <c r="K130" s="6" t="n">
        <f aca="false">PRODUCT(IF(B130=1,0.8,1-0.8),IF(A130=1,0.8,1-0.8),
          IF(C130=1,0.8,1-0.8),
          IF(D130=1,0.8,1-0.8),
          IF(E130=1,0.8,1-0.8),
          IF(F130=1,0.8,1-0.8),
          IF(G130=1,0.8,1-0.8)) * M130</f>
        <v>0.0524288</v>
      </c>
      <c r="L130" s="6" t="n">
        <f aca="false">PRODUCT(IF(B130=1,0.9,1-0.9), IF(A130=1,0.9,1-0.9),
          IF(C130=1,0.9,1-0.9),
          IF(D130=1,0.9,1-0.9),
          IF(E130=1,0.9,1-0.9),
          IF(F130=1,0.9,1-0.9),
          IF(G130=1,0.9,1-0.9)) * M130</f>
        <v>0.0531441</v>
      </c>
      <c r="M130" s="2" t="n">
        <f aca="false">IF(C130=1,1,IF(AND(B130=1,A130=1,G130=1,D130=1),1,IF(AND(B130=1,A130=1,F130=1,D130=1,E130=1)
,1,0)))</f>
        <v>1</v>
      </c>
    </row>
    <row r="131" customFormat="false" ht="14.25" hidden="false" customHeight="false" outlineLevel="0" collapsed="false">
      <c r="A131" s="2" t="n">
        <v>1</v>
      </c>
      <c r="B131" s="2" t="n">
        <v>1</v>
      </c>
      <c r="C131" s="2" t="n">
        <v>1</v>
      </c>
      <c r="D131" s="2" t="n">
        <v>1</v>
      </c>
      <c r="E131" s="2" t="n">
        <v>1</v>
      </c>
      <c r="F131" s="2" t="n">
        <v>1</v>
      </c>
      <c r="G131" s="2" t="n">
        <v>1</v>
      </c>
      <c r="H131" s="1" t="n">
        <f aca="false"> ((($A131*$A$2)+(1-$A$2)*(1-$A131))* (($B131*$B$2)+(1-$B$2)*(1-$B131)) *(($C131*$C$2)+(1-
$C$2)*(1-$C131))* (($D131*$D$2)+(1-$D$2)*(1-$D131))* (($E131*$E$2)+(1-$E$2)*(1-$E131))*
(($F131*$F$2)+(1-$F$2)*(1-$F131))* (($G131*$G$2)+(1-$G$2)*(1-$G131)))*$M131</f>
        <v>0.0823543</v>
      </c>
      <c r="I131" s="6" t="n">
        <f aca="false">PRODUCT(IF(B131=1,0.6,1-0.6), IF(A131=1,0.6,1-0.6),
        IF(C131=1,0.6,1-0.6),
        IF(D131=1,0.6,1-0.6),
        IF(E131=1,0.6,1-0.6),
        IF(F131=1,0.6,1-0.6),
        IF(G131=1,0.6,1-0.6)) * M131</f>
        <v>0.0279936</v>
      </c>
      <c r="J131" s="6" t="n">
        <f aca="false">PRODUCT(IF(B131=1,0.7,1-0.7), IF(A131=1,0.7,1-0.7),
          IF(C131=1,0.7,1-0.7),
          IF(D131=1,0.7,1-0.7),
          IF(E131=1,0.7,1-0.7),
          IF(F131=1,0.7,1-0.7),
          IF(G131=1,0.7,1-0.7)) * M131</f>
        <v>0.0823543</v>
      </c>
      <c r="K131" s="6" t="n">
        <f aca="false">PRODUCT(IF(B131=1,0.8,1-0.8),IF(A131=1,0.8,1-0.8),
          IF(C131=1,0.8,1-0.8),
          IF(D131=1,0.8,1-0.8),
          IF(E131=1,0.8,1-0.8),
          IF(F131=1,0.8,1-0.8),
          IF(G131=1,0.8,1-0.8)) * M131</f>
        <v>0.2097152</v>
      </c>
      <c r="L131" s="6" t="n">
        <f aca="false">PRODUCT(IF(B131=1,0.9,1-0.9), IF(A131=1,0.9,1-0.9),
          IF(C131=1,0.9,1-0.9),
          IF(D131=1,0.9,1-0.9),
          IF(E131=1,0.9,1-0.9),
          IF(F131=1,0.9,1-0.9),
          IF(G131=1,0.9,1-0.9)) * M131</f>
        <v>0.4782969</v>
      </c>
      <c r="M131" s="2" t="n">
        <f aca="false">IF(C131=1,1,IF(AND(B131=1,A131=1,G131=1,D131=1),1,IF(AND(B131=1,A131=1,F131=1,D131=1,E131=1)
,1,0)))</f>
        <v>1</v>
      </c>
    </row>
    <row r="132" customFormat="false" ht="14.25" hidden="false" customHeight="false" outlineLevel="0" collapsed="false">
      <c r="C132" s="7" t="s">
        <v>6</v>
      </c>
      <c r="F132" s="8" t="s">
        <v>7</v>
      </c>
      <c r="H132" s="7" t="n">
        <f aca="false">SUM(H4:H131)</f>
        <v>0.7871563</v>
      </c>
      <c r="I132" s="9" t="n">
        <f aca="false">SUM(I4:I131)</f>
        <v>0.6642816</v>
      </c>
      <c r="J132" s="9" t="n">
        <f aca="false">SUM(J4:J131)</f>
        <v>0.7871563</v>
      </c>
      <c r="K132" s="9" t="n">
        <f aca="false">SUM(K4:K131)</f>
        <v>0.8950272</v>
      </c>
      <c r="L132" s="9" t="n">
        <f aca="false">SUM(L4:L131)</f>
        <v>0.9715149</v>
      </c>
      <c r="M132" s="8" t="n">
        <f aca="false">SUM(M4:M131)</f>
        <v>69</v>
      </c>
      <c r="N132" s="8" t="s">
        <v>8</v>
      </c>
    </row>
    <row r="133" customFormat="false" ht="14.25" hidden="false" customHeight="false" outlineLevel="0" collapsed="false">
      <c r="N133" s="8" t="s">
        <v>9</v>
      </c>
    </row>
    <row r="134" customFormat="false" ht="14.25" hidden="false" customHeight="false" outlineLevel="0" collapsed="false">
      <c r="N134" s="8" t="s">
        <v>10</v>
      </c>
    </row>
  </sheetData>
  <mergeCells count="2">
    <mergeCell ref="A1:F1"/>
    <mergeCell ref="I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X55" activeCellId="0" sqref="X55"/>
    </sheetView>
  </sheetViews>
  <sheetFormatPr defaultColWidth="8.59765625" defaultRowHeight="14.25" zeroHeight="false" outlineLevelRow="0" outlineLevelCol="0"/>
  <cols>
    <col collapsed="false" customWidth="false" hidden="false" outlineLevel="0" max="20" min="12" style="10" width="8.59"/>
    <col collapsed="false" customWidth="true" hidden="false" outlineLevel="0" max="21" min="21" style="10" width="11.81"/>
    <col collapsed="false" customWidth="false" hidden="false" outlineLevel="0" max="22" min="22" style="10" width="8.59"/>
  </cols>
  <sheetData>
    <row r="1" customFormat="false" ht="14.25" hidden="false" customHeight="false" outlineLevel="0" collapsed="false">
      <c r="A1" s="11" t="s">
        <v>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M1" s="11" t="s">
        <v>11</v>
      </c>
      <c r="N1" s="11"/>
      <c r="O1" s="11"/>
      <c r="P1" s="11"/>
      <c r="Q1" s="11"/>
      <c r="R1" s="11"/>
      <c r="S1" s="11"/>
      <c r="T1" s="11"/>
      <c r="U1" s="11"/>
      <c r="V1" s="11"/>
      <c r="W1" s="11"/>
    </row>
    <row r="2" customFormat="false" ht="14.25" hidden="false" customHeight="false" outlineLevel="0" collapsed="false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  <c r="F2" s="12" t="s">
        <v>17</v>
      </c>
      <c r="G2" s="12" t="n">
        <v>0.6</v>
      </c>
      <c r="H2" s="12" t="n">
        <v>0.7</v>
      </c>
      <c r="I2" s="12" t="n">
        <v>0.8</v>
      </c>
      <c r="J2" s="12" t="n">
        <v>0.9</v>
      </c>
      <c r="L2" s="2" t="n">
        <v>1</v>
      </c>
      <c r="M2" s="2" t="n">
        <v>2</v>
      </c>
      <c r="N2" s="2" t="n">
        <v>3</v>
      </c>
      <c r="O2" s="2" t="n">
        <v>4</v>
      </c>
      <c r="P2" s="2" t="n">
        <v>5</v>
      </c>
      <c r="Q2" s="2" t="n">
        <v>7</v>
      </c>
      <c r="R2" s="2" t="n">
        <v>11</v>
      </c>
      <c r="S2" s="1"/>
      <c r="T2" s="6" t="n">
        <v>0.6</v>
      </c>
      <c r="U2" s="6" t="n">
        <v>0.7</v>
      </c>
      <c r="V2" s="6" t="n">
        <v>0.8</v>
      </c>
      <c r="W2" s="6" t="n">
        <v>0.9</v>
      </c>
      <c r="X2" s="2"/>
    </row>
    <row r="3" customFormat="false" ht="14.25" hidden="false" customHeight="false" outlineLevel="0" collapsed="false">
      <c r="L3" s="2" t="n">
        <v>0</v>
      </c>
      <c r="M3" s="2" t="n">
        <v>0</v>
      </c>
      <c r="N3" s="2" t="n">
        <v>1</v>
      </c>
      <c r="O3" s="2" t="n">
        <v>0</v>
      </c>
      <c r="P3" s="2" t="n">
        <v>0</v>
      </c>
      <c r="Q3" s="2" t="n">
        <v>0</v>
      </c>
      <c r="R3" s="2" t="n">
        <v>0</v>
      </c>
      <c r="S3" s="1"/>
      <c r="T3" s="6" t="n">
        <f aca="false">PRODUCT(IF(M3=1,0.6,1-0.6), IF(L3=1,0.6,1-0.6),
        IF(N3=1,0.6,1-0.6),
        IF(O3=1,0.6,1-0.6),
        IF(P3=1,0.6,1-0.6),
        IF(Q3=1,0.6,1-0.6),
        IF(R3=1,0.6,1-0.6))</f>
        <v>0.0024576</v>
      </c>
      <c r="U3" s="6" t="n">
        <f aca="false">PRODUCT(IF(M3=1,0.7,1-0.7), IF(L3=1,0.7,1-0.7),
          IF(N3=1,0.7,1-0.7),
          IF(O3=1,0.7,1-0.7),
          IF(P3=1,0.7,1-0.7),
          IF(Q3=1,0.7,1-0.7),
          IF(R3=1,0.7,1-0.7))</f>
        <v>0.0005103</v>
      </c>
      <c r="V3" s="6" t="n">
        <f aca="false">PRODUCT(IF(M3=1,0.8,1-0.8),IF(L3=1,0.8,1-0.8),
          IF(N3=1,0.8,1-0.8),
          IF(O3=1,0.8,1-0.8),
          IF(P3=1,0.8,1-0.8),
          IF(Q3=1,0.8,1-0.8),
          IF(R3=1,0.8,1-0.8))</f>
        <v>5.11999999999999E-005</v>
      </c>
      <c r="W3" s="6" t="n">
        <f aca="false">PRODUCT(IF(M3=1,0.9,1-0.9), IF(L3=1,0.9,1-0.9),
          IF(N3=1,0.9,1-0.9),
          IF(O3=1,0.9,1-0.9),
          IF(P3=1,0.9,1-0.9),
          IF(Q3=1,0.9,1-0.9),
          IF(R3=1,0.9,1-0.9))</f>
        <v>8.99999999999999E-007</v>
      </c>
      <c r="X3" s="2"/>
    </row>
    <row r="4" customFormat="false" ht="14.25" hidden="false" customHeight="false" outlineLevel="0" collapsed="false">
      <c r="A4" s="12" t="n">
        <v>0</v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1</v>
      </c>
      <c r="G4" s="12" t="n">
        <f aca="false">PRODUCT(IF(F4=1,0.6,1-0.6),
          IF(A4=1,0.6,1-0.6),
          IF(D4=1,0.6,1-0.6),
          IF(C4=1,0.6,1-0.6))</f>
        <v>0.0384</v>
      </c>
      <c r="H4" s="12" t="n">
        <f aca="false">PRODUCT(IF(F4=1,0.7,1-0.7),
          IF(A4=1,0.7,1-0.7),
          IF(D4=1,0.7,1-0.7),
          IF(C4=1,0.7,1-0.7))</f>
        <v>0.0189</v>
      </c>
      <c r="I4" s="12" t="n">
        <f aca="false">PRODUCT(IF(F4=1,0.8,1-0.8),
          IF(A4=1,0.8,1-0.8),
          IF(D4=1,0.8,1-0.8),
          IF(C4=1,0.8,1-0.8))</f>
        <v>0.0064</v>
      </c>
      <c r="J4" s="12" t="n">
        <f aca="false">PRODUCT(IF(F4=1,0.9,1-0.9),
          IF(A4=1,0.9,1-0.9),
          IF(D4=1,0.9,1-0.9),
          IF(C4=1,0.9,1-0.9))</f>
        <v>0.000899999999999999</v>
      </c>
      <c r="L4" s="2" t="n">
        <v>0</v>
      </c>
      <c r="M4" s="2" t="n">
        <v>0</v>
      </c>
      <c r="N4" s="2" t="n">
        <v>1</v>
      </c>
      <c r="O4" s="2" t="n">
        <v>0</v>
      </c>
      <c r="P4" s="2" t="n">
        <v>0</v>
      </c>
      <c r="Q4" s="2" t="n">
        <v>0</v>
      </c>
      <c r="R4" s="2" t="n">
        <v>1</v>
      </c>
      <c r="S4" s="1"/>
      <c r="T4" s="6" t="n">
        <f aca="false">PRODUCT(IF(M4=1,0.6,1-0.6), IF(L4=1,0.6,1-0.6),
        IF(N4=1,0.6,1-0.6),
        IF(O4=1,0.6,1-0.6),
        IF(P4=1,0.6,1-0.6),
        IF(Q4=1,0.6,1-0.6),
        IF(R4=1,0.6,1-0.6))</f>
        <v>0.0036864</v>
      </c>
      <c r="U4" s="6" t="n">
        <f aca="false">PRODUCT(IF(M4=1,0.7,1-0.7), IF(L4=1,0.7,1-0.7),
          IF(N4=1,0.7,1-0.7),
          IF(O4=1,0.7,1-0.7),
          IF(P4=1,0.7,1-0.7),
          IF(Q4=1,0.7,1-0.7),
          IF(R4=1,0.7,1-0.7))</f>
        <v>0.0011907</v>
      </c>
      <c r="V4" s="6" t="n">
        <f aca="false">PRODUCT(IF(M4=1,0.8,1-0.8),IF(L4=1,0.8,1-0.8),
          IF(N4=1,0.8,1-0.8),
          IF(O4=1,0.8,1-0.8),
          IF(P4=1,0.8,1-0.8),
          IF(Q4=1,0.8,1-0.8),
          IF(R4=1,0.8,1-0.8))</f>
        <v>0.0002048</v>
      </c>
      <c r="W4" s="6" t="n">
        <f aca="false">PRODUCT(IF(M4=1,0.9,1-0.9), IF(L4=1,0.9,1-0.9),
          IF(N4=1,0.9,1-0.9),
          IF(O4=1,0.9,1-0.9),
          IF(P4=1,0.9,1-0.9),
          IF(Q4=1,0.9,1-0.9),
          IF(R4=1,0.9,1-0.9))</f>
        <v>8.09999999999999E-006</v>
      </c>
      <c r="X4" s="2"/>
    </row>
    <row r="5" customFormat="false" ht="14.25" hidden="false" customHeight="false" outlineLevel="0" collapsed="false">
      <c r="A5" s="12" t="n">
        <v>0</v>
      </c>
      <c r="B5" s="12" t="n">
        <v>0</v>
      </c>
      <c r="C5" s="12" t="n">
        <v>0</v>
      </c>
      <c r="D5" s="12" t="n">
        <v>1</v>
      </c>
      <c r="E5" s="12" t="n">
        <v>0</v>
      </c>
      <c r="F5" s="12" t="n">
        <v>1</v>
      </c>
      <c r="G5" s="12" t="n">
        <f aca="false">PRODUCT(IF(F5=1,0.6,1-0.6),
          IF(A5=1,0.6,1-0.6),
          IF(D5=1,0.6,1-0.6),
          IF(C5=1,0.6,1-0.6))</f>
        <v>0.0576</v>
      </c>
      <c r="H5" s="12" t="n">
        <f aca="false">PRODUCT(IF(F5=1,0.7,1-0.7),
          IF(A5=1,0.7,1-0.7),
          IF(D5=1,0.7,1-0.7),
          IF(C5=1,0.7,1-0.7))</f>
        <v>0.0441</v>
      </c>
      <c r="I5" s="12" t="n">
        <f aca="false">PRODUCT(IF(F5=1,0.8,1-0.8),
          IF(A5=1,0.8,1-0.8),
          IF(D5=1,0.8,1-0.8),
          IF(C5=1,0.8,1-0.8))</f>
        <v>0.0256</v>
      </c>
      <c r="J5" s="12" t="n">
        <f aca="false">PRODUCT(IF(F5=1,0.9,1-0.9),
          IF(A5=1,0.9,1-0.9),
          IF(D5=1,0.9,1-0.9),
          IF(C5=1,0.9,1-0.9))</f>
        <v>0.0081</v>
      </c>
      <c r="L5" s="2" t="n">
        <v>0</v>
      </c>
      <c r="M5" s="2" t="n">
        <v>0</v>
      </c>
      <c r="N5" s="2" t="n">
        <v>1</v>
      </c>
      <c r="O5" s="2" t="n">
        <v>0</v>
      </c>
      <c r="P5" s="2" t="n">
        <v>0</v>
      </c>
      <c r="Q5" s="2" t="n">
        <v>1</v>
      </c>
      <c r="R5" s="2" t="n">
        <v>0</v>
      </c>
      <c r="S5" s="1"/>
      <c r="T5" s="6" t="n">
        <f aca="false">PRODUCT(IF(M5=1,0.6,1-0.6), IF(L5=1,0.6,1-0.6),
        IF(N5=1,0.6,1-0.6),
        IF(O5=1,0.6,1-0.6),
        IF(P5=1,0.6,1-0.6),
        IF(Q5=1,0.6,1-0.6),
        IF(R5=1,0.6,1-0.6))</f>
        <v>0.0036864</v>
      </c>
      <c r="U5" s="6" t="n">
        <f aca="false">PRODUCT(IF(M5=1,0.7,1-0.7), IF(L5=1,0.7,1-0.7),
          IF(N5=1,0.7,1-0.7),
          IF(O5=1,0.7,1-0.7),
          IF(P5=1,0.7,1-0.7),
          IF(Q5=1,0.7,1-0.7),
          IF(R5=1,0.7,1-0.7))</f>
        <v>0.0011907</v>
      </c>
      <c r="V5" s="6" t="n">
        <f aca="false">PRODUCT(IF(M5=1,0.8,1-0.8),IF(L5=1,0.8,1-0.8),
          IF(N5=1,0.8,1-0.8),
          IF(O5=1,0.8,1-0.8),
          IF(P5=1,0.8,1-0.8),
          IF(Q5=1,0.8,1-0.8),
          IF(R5=1,0.8,1-0.8))</f>
        <v>0.0002048</v>
      </c>
      <c r="W5" s="6" t="n">
        <f aca="false">PRODUCT(IF(M5=1,0.9,1-0.9), IF(L5=1,0.9,1-0.9),
          IF(N5=1,0.9,1-0.9),
          IF(O5=1,0.9,1-0.9),
          IF(P5=1,0.9,1-0.9),
          IF(Q5=1,0.9,1-0.9),
          IF(R5=1,0.9,1-0.9))</f>
        <v>8.09999999999999E-006</v>
      </c>
      <c r="X5" s="2"/>
    </row>
    <row r="6" customFormat="false" ht="14.25" hidden="false" customHeight="false" outlineLevel="0" collapsed="false">
      <c r="A6" s="12" t="n">
        <v>0</v>
      </c>
      <c r="B6" s="12" t="n">
        <v>0</v>
      </c>
      <c r="C6" s="12" t="n">
        <v>1</v>
      </c>
      <c r="D6" s="12" t="n">
        <v>0</v>
      </c>
      <c r="E6" s="12" t="n">
        <v>0</v>
      </c>
      <c r="F6" s="12" t="n">
        <v>1</v>
      </c>
      <c r="G6" s="12" t="n">
        <f aca="false">PRODUCT(IF(F6=1,0.6,1-0.6),
          IF(A6=1,0.6,1-0.6),
          IF(D6=1,0.6,1-0.6),
          IF(C6=1,0.6,1-0.6))</f>
        <v>0.0576</v>
      </c>
      <c r="H6" s="12" t="n">
        <f aca="false">PRODUCT(IF(F6=1,0.7,1-0.7),
          IF(A6=1,0.7,1-0.7),
          IF(D6=1,0.7,1-0.7),
          IF(C6=1,0.7,1-0.7))</f>
        <v>0.0441</v>
      </c>
      <c r="I6" s="12" t="n">
        <f aca="false">PRODUCT(IF(F6=1,0.8,1-0.8),
          IF(A6=1,0.8,1-0.8),
          IF(D6=1,0.8,1-0.8),
          IF(C6=1,0.8,1-0.8))</f>
        <v>0.0256</v>
      </c>
      <c r="J6" s="12" t="n">
        <f aca="false">PRODUCT(IF(F6=1,0.9,1-0.9),
          IF(A6=1,0.9,1-0.9),
          IF(D6=1,0.9,1-0.9),
          IF(C6=1,0.9,1-0.9))</f>
        <v>0.0081</v>
      </c>
      <c r="L6" s="2" t="n">
        <v>0</v>
      </c>
      <c r="M6" s="2" t="n">
        <v>0</v>
      </c>
      <c r="N6" s="2" t="n">
        <v>1</v>
      </c>
      <c r="O6" s="2" t="n">
        <v>0</v>
      </c>
      <c r="P6" s="2" t="n">
        <v>0</v>
      </c>
      <c r="Q6" s="2" t="n">
        <v>1</v>
      </c>
      <c r="R6" s="2" t="n">
        <v>1</v>
      </c>
      <c r="S6" s="1"/>
      <c r="T6" s="6" t="n">
        <f aca="false">PRODUCT(IF(M6=1,0.6,1-0.6), IF(L6=1,0.6,1-0.6),
        IF(N6=1,0.6,1-0.6),
        IF(O6=1,0.6,1-0.6),
        IF(P6=1,0.6,1-0.6),
        IF(Q6=1,0.6,1-0.6),
        IF(R6=1,0.6,1-0.6))</f>
        <v>0.0055296</v>
      </c>
      <c r="U6" s="6" t="n">
        <f aca="false">PRODUCT(IF(M6=1,0.7,1-0.7), IF(L6=1,0.7,1-0.7),
          IF(N6=1,0.7,1-0.7),
          IF(O6=1,0.7,1-0.7),
          IF(P6=1,0.7,1-0.7),
          IF(Q6=1,0.7,1-0.7),
          IF(R6=1,0.7,1-0.7))</f>
        <v>0.0027783</v>
      </c>
      <c r="V6" s="6" t="n">
        <f aca="false">PRODUCT(IF(M6=1,0.8,1-0.8),IF(L6=1,0.8,1-0.8),
          IF(N6=1,0.8,1-0.8),
          IF(O6=1,0.8,1-0.8),
          IF(P6=1,0.8,1-0.8),
          IF(Q6=1,0.8,1-0.8),
          IF(R6=1,0.8,1-0.8))</f>
        <v>0.0008192</v>
      </c>
      <c r="W6" s="6" t="n">
        <f aca="false">PRODUCT(IF(M6=1,0.9,1-0.9), IF(L6=1,0.9,1-0.9),
          IF(N6=1,0.9,1-0.9),
          IF(O6=1,0.9,1-0.9),
          IF(P6=1,0.9,1-0.9),
          IF(Q6=1,0.9,1-0.9),
          IF(R6=1,0.9,1-0.9))</f>
        <v>7.28999999999999E-005</v>
      </c>
      <c r="X6" s="2"/>
    </row>
    <row r="7" customFormat="false" ht="14.25" hidden="false" customHeight="false" outlineLevel="0" collapsed="false">
      <c r="A7" s="12" t="n">
        <v>0</v>
      </c>
      <c r="B7" s="12" t="n">
        <v>0</v>
      </c>
      <c r="C7" s="12" t="n">
        <v>1</v>
      </c>
      <c r="D7" s="12" t="n">
        <v>1</v>
      </c>
      <c r="E7" s="12" t="n">
        <v>0</v>
      </c>
      <c r="F7" s="12" t="n">
        <v>1</v>
      </c>
      <c r="G7" s="12" t="n">
        <f aca="false">PRODUCT(IF(F7=1,0.6,1-0.6),
          IF(A7=1,0.6,1-0.6),
          IF(D7=1,0.6,1-0.6),
          IF(C7=1,0.6,1-0.6))</f>
        <v>0.0864</v>
      </c>
      <c r="H7" s="12" t="n">
        <f aca="false">PRODUCT(IF(F7=1,0.7,1-0.7),
          IF(A7=1,0.7,1-0.7),
          IF(D7=1,0.7,1-0.7),
          IF(C7=1,0.7,1-0.7))</f>
        <v>0.1029</v>
      </c>
      <c r="I7" s="12" t="n">
        <f aca="false">PRODUCT(IF(F7=1,0.8,1-0.8),
          IF(A7=1,0.8,1-0.8),
          IF(D7=1,0.8,1-0.8),
          IF(C7=1,0.8,1-0.8))</f>
        <v>0.1024</v>
      </c>
      <c r="J7" s="12" t="n">
        <f aca="false">PRODUCT(IF(F7=1,0.9,1-0.9),
          IF(A7=1,0.9,1-0.9),
          IF(D7=1,0.9,1-0.9),
          IF(C7=1,0.9,1-0.9))</f>
        <v>0.0729</v>
      </c>
      <c r="L7" s="2" t="n">
        <v>0</v>
      </c>
      <c r="M7" s="2" t="n">
        <v>0</v>
      </c>
      <c r="N7" s="2" t="n">
        <v>1</v>
      </c>
      <c r="O7" s="2" t="n">
        <v>0</v>
      </c>
      <c r="P7" s="2" t="n">
        <v>1</v>
      </c>
      <c r="Q7" s="2" t="n">
        <v>0</v>
      </c>
      <c r="R7" s="2" t="n">
        <v>0</v>
      </c>
      <c r="S7" s="1"/>
      <c r="T7" s="6" t="n">
        <f aca="false">PRODUCT(IF(M7=1,0.6,1-0.6), IF(L7=1,0.6,1-0.6),
        IF(N7=1,0.6,1-0.6),
        IF(O7=1,0.6,1-0.6),
        IF(P7=1,0.6,1-0.6),
        IF(Q7=1,0.6,1-0.6),
        IF(R7=1,0.6,1-0.6))</f>
        <v>0.0036864</v>
      </c>
      <c r="U7" s="6" t="n">
        <f aca="false">PRODUCT(IF(M7=1,0.7,1-0.7), IF(L7=1,0.7,1-0.7),
          IF(N7=1,0.7,1-0.7),
          IF(O7=1,0.7,1-0.7),
          IF(P7=1,0.7,1-0.7),
          IF(Q7=1,0.7,1-0.7),
          IF(R7=1,0.7,1-0.7))</f>
        <v>0.0011907</v>
      </c>
      <c r="V7" s="6" t="n">
        <f aca="false">PRODUCT(IF(M7=1,0.8,1-0.8),IF(L7=1,0.8,1-0.8),
          IF(N7=1,0.8,1-0.8),
          IF(O7=1,0.8,1-0.8),
          IF(P7=1,0.8,1-0.8),
          IF(Q7=1,0.8,1-0.8),
          IF(R7=1,0.8,1-0.8))</f>
        <v>0.0002048</v>
      </c>
      <c r="W7" s="6" t="n">
        <f aca="false">PRODUCT(IF(M7=1,0.9,1-0.9), IF(L7=1,0.9,1-0.9),
          IF(N7=1,0.9,1-0.9),
          IF(O7=1,0.9,1-0.9),
          IF(P7=1,0.9,1-0.9),
          IF(Q7=1,0.9,1-0.9),
          IF(R7=1,0.9,1-0.9))</f>
        <v>8.09999999999999E-006</v>
      </c>
      <c r="X7" s="2"/>
    </row>
    <row r="8" customFormat="false" ht="14.25" hidden="false" customHeight="false" outlineLevel="0" collapsed="false">
      <c r="A8" s="12" t="n">
        <v>1</v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1</v>
      </c>
      <c r="G8" s="12" t="n">
        <f aca="false">PRODUCT(IF(F8=1,0.6,1-0.6),
          IF(A8=1,0.6,1-0.6),
          IF(D8=1,0.6,1-0.6),
          IF(C8=1,0.6,1-0.6))</f>
        <v>0.0576</v>
      </c>
      <c r="H8" s="12" t="n">
        <f aca="false">PRODUCT(IF(F8=1,0.7,1-0.7),
          IF(A8=1,0.7,1-0.7),
          IF(D8=1,0.7,1-0.7),
          IF(C8=1,0.7,1-0.7))</f>
        <v>0.0441</v>
      </c>
      <c r="I8" s="12" t="n">
        <f aca="false">PRODUCT(IF(F8=1,0.8,1-0.8),
          IF(A8=1,0.8,1-0.8),
          IF(D8=1,0.8,1-0.8),
          IF(C8=1,0.8,1-0.8))</f>
        <v>0.0256</v>
      </c>
      <c r="J8" s="12" t="n">
        <f aca="false">PRODUCT(IF(F8=1,0.9,1-0.9),
          IF(A8=1,0.9,1-0.9),
          IF(D8=1,0.9,1-0.9),
          IF(C8=1,0.9,1-0.9))</f>
        <v>0.0081</v>
      </c>
      <c r="L8" s="2" t="n">
        <v>0</v>
      </c>
      <c r="M8" s="2" t="n">
        <v>0</v>
      </c>
      <c r="N8" s="2" t="n">
        <v>1</v>
      </c>
      <c r="O8" s="2" t="n">
        <v>0</v>
      </c>
      <c r="P8" s="2" t="n">
        <v>1</v>
      </c>
      <c r="Q8" s="2" t="n">
        <v>0</v>
      </c>
      <c r="R8" s="2" t="n">
        <v>1</v>
      </c>
      <c r="S8" s="1"/>
      <c r="T8" s="6" t="n">
        <f aca="false">PRODUCT(IF(M8=1,0.6,1-0.6), IF(L8=1,0.6,1-0.6),
        IF(N8=1,0.6,1-0.6),
        IF(O8=1,0.6,1-0.6),
        IF(P8=1,0.6,1-0.6),
        IF(Q8=1,0.6,1-0.6),
        IF(R8=1,0.6,1-0.6))</f>
        <v>0.0055296</v>
      </c>
      <c r="U8" s="6" t="n">
        <f aca="false">PRODUCT(IF(M8=1,0.7,1-0.7), IF(L8=1,0.7,1-0.7),
          IF(N8=1,0.7,1-0.7),
          IF(O8=1,0.7,1-0.7),
          IF(P8=1,0.7,1-0.7),
          IF(Q8=1,0.7,1-0.7),
          IF(R8=1,0.7,1-0.7))</f>
        <v>0.0027783</v>
      </c>
      <c r="V8" s="6" t="n">
        <f aca="false">PRODUCT(IF(M8=1,0.8,1-0.8),IF(L8=1,0.8,1-0.8),
          IF(N8=1,0.8,1-0.8),
          IF(O8=1,0.8,1-0.8),
          IF(P8=1,0.8,1-0.8),
          IF(Q8=1,0.8,1-0.8),
          IF(R8=1,0.8,1-0.8))</f>
        <v>0.000819199999999999</v>
      </c>
      <c r="W8" s="6" t="n">
        <f aca="false">PRODUCT(IF(M8=1,0.9,1-0.9), IF(L8=1,0.9,1-0.9),
          IF(N8=1,0.9,1-0.9),
          IF(O8=1,0.9,1-0.9),
          IF(P8=1,0.9,1-0.9),
          IF(Q8=1,0.9,1-0.9),
          IF(R8=1,0.9,1-0.9))</f>
        <v>7.28999999999999E-005</v>
      </c>
      <c r="X8" s="2"/>
    </row>
    <row r="9" customFormat="false" ht="14.25" hidden="false" customHeight="false" outlineLevel="0" collapsed="false">
      <c r="A9" s="12" t="n">
        <v>1</v>
      </c>
      <c r="B9" s="12" t="n">
        <v>0</v>
      </c>
      <c r="C9" s="12" t="n">
        <v>0</v>
      </c>
      <c r="D9" s="12" t="n">
        <v>1</v>
      </c>
      <c r="E9" s="12" t="n">
        <v>0</v>
      </c>
      <c r="F9" s="12" t="n">
        <v>1</v>
      </c>
      <c r="G9" s="12" t="n">
        <f aca="false">PRODUCT(IF(F9=1,0.6,1-0.6),
          IF(A9=1,0.6,1-0.6),
          IF(D9=1,0.6,1-0.6),
          IF(C9=1,0.6,1-0.6))</f>
        <v>0.0864</v>
      </c>
      <c r="H9" s="12" t="n">
        <f aca="false">PRODUCT(IF(F9=1,0.7,1-0.7),
          IF(A9=1,0.7,1-0.7),
          IF(D9=1,0.7,1-0.7),
          IF(C9=1,0.7,1-0.7))</f>
        <v>0.1029</v>
      </c>
      <c r="I9" s="12" t="n">
        <f aca="false">PRODUCT(IF(F9=1,0.8,1-0.8),
          IF(A9=1,0.8,1-0.8),
          IF(D9=1,0.8,1-0.8),
          IF(C9=1,0.8,1-0.8))</f>
        <v>0.1024</v>
      </c>
      <c r="J9" s="12" t="n">
        <f aca="false">PRODUCT(IF(F9=1,0.9,1-0.9),
          IF(A9=1,0.9,1-0.9),
          IF(D9=1,0.9,1-0.9),
          IF(C9=1,0.9,1-0.9))</f>
        <v>0.0729</v>
      </c>
      <c r="L9" s="2" t="n">
        <v>0</v>
      </c>
      <c r="M9" s="2" t="n">
        <v>0</v>
      </c>
      <c r="N9" s="2" t="n">
        <v>1</v>
      </c>
      <c r="O9" s="2" t="n">
        <v>0</v>
      </c>
      <c r="P9" s="2" t="n">
        <v>1</v>
      </c>
      <c r="Q9" s="2" t="n">
        <v>1</v>
      </c>
      <c r="R9" s="2" t="n">
        <v>0</v>
      </c>
      <c r="S9" s="1"/>
      <c r="T9" s="6" t="n">
        <f aca="false">PRODUCT(IF(M9=1,0.6,1-0.6), IF(L9=1,0.6,1-0.6),
        IF(N9=1,0.6,1-0.6),
        IF(O9=1,0.6,1-0.6),
        IF(P9=1,0.6,1-0.6),
        IF(Q9=1,0.6,1-0.6),
        IF(R9=1,0.6,1-0.6))</f>
        <v>0.0055296</v>
      </c>
      <c r="U9" s="6" t="n">
        <f aca="false">PRODUCT(IF(M9=1,0.7,1-0.7), IF(L9=1,0.7,1-0.7),
          IF(N9=1,0.7,1-0.7),
          IF(O9=1,0.7,1-0.7),
          IF(P9=1,0.7,1-0.7),
          IF(Q9=1,0.7,1-0.7),
          IF(R9=1,0.7,1-0.7))</f>
        <v>0.0027783</v>
      </c>
      <c r="V9" s="6" t="n">
        <f aca="false">PRODUCT(IF(M9=1,0.8,1-0.8),IF(L9=1,0.8,1-0.8),
          IF(N9=1,0.8,1-0.8),
          IF(O9=1,0.8,1-0.8),
          IF(P9=1,0.8,1-0.8),
          IF(Q9=1,0.8,1-0.8),
          IF(R9=1,0.8,1-0.8))</f>
        <v>0.000819199999999999</v>
      </c>
      <c r="W9" s="6" t="n">
        <f aca="false">PRODUCT(IF(M9=1,0.9,1-0.9), IF(L9=1,0.9,1-0.9),
          IF(N9=1,0.9,1-0.9),
          IF(O9=1,0.9,1-0.9),
          IF(P9=1,0.9,1-0.9),
          IF(Q9=1,0.9,1-0.9),
          IF(R9=1,0.9,1-0.9))</f>
        <v>7.28999999999999E-005</v>
      </c>
      <c r="X9" s="2"/>
    </row>
    <row r="10" customFormat="false" ht="14.25" hidden="false" customHeight="false" outlineLevel="0" collapsed="false">
      <c r="A10" s="12" t="n">
        <v>1</v>
      </c>
      <c r="B10" s="12" t="n">
        <v>0</v>
      </c>
      <c r="C10" s="12" t="n">
        <v>1</v>
      </c>
      <c r="D10" s="12" t="n">
        <v>0</v>
      </c>
      <c r="E10" s="12" t="n">
        <v>0</v>
      </c>
      <c r="F10" s="12" t="n">
        <v>1</v>
      </c>
      <c r="G10" s="12" t="n">
        <f aca="false">PRODUCT(IF(F10=1,0.6,1-0.6),
          IF(A10=1,0.6,1-0.6),
          IF(D10=1,0.6,1-0.6),
          IF(C10=1,0.6,1-0.6))</f>
        <v>0.0864</v>
      </c>
      <c r="H10" s="12" t="n">
        <f aca="false">PRODUCT(IF(F10=1,0.7,1-0.7),
          IF(A10=1,0.7,1-0.7),
          IF(D10=1,0.7,1-0.7),
          IF(C10=1,0.7,1-0.7))</f>
        <v>0.1029</v>
      </c>
      <c r="I10" s="12" t="n">
        <f aca="false">PRODUCT(IF(F10=1,0.8,1-0.8),
          IF(A10=1,0.8,1-0.8),
          IF(D10=1,0.8,1-0.8),
          IF(C10=1,0.8,1-0.8))</f>
        <v>0.1024</v>
      </c>
      <c r="J10" s="12" t="n">
        <f aca="false">PRODUCT(IF(F10=1,0.9,1-0.9),
          IF(A10=1,0.9,1-0.9),
          IF(D10=1,0.9,1-0.9),
          IF(C10=1,0.9,1-0.9))</f>
        <v>0.0729</v>
      </c>
      <c r="L10" s="2" t="n">
        <v>0</v>
      </c>
      <c r="M10" s="2" t="n">
        <v>0</v>
      </c>
      <c r="N10" s="2" t="n">
        <v>1</v>
      </c>
      <c r="O10" s="2" t="n">
        <v>0</v>
      </c>
      <c r="P10" s="2" t="n">
        <v>1</v>
      </c>
      <c r="Q10" s="2" t="n">
        <v>1</v>
      </c>
      <c r="R10" s="2" t="n">
        <v>1</v>
      </c>
      <c r="S10" s="1"/>
      <c r="T10" s="6" t="n">
        <f aca="false">PRODUCT(IF(M10=1,0.6,1-0.6), IF(L10=1,0.6,1-0.6),
        IF(N10=1,0.6,1-0.6),
        IF(O10=1,0.6,1-0.6),
        IF(P10=1,0.6,1-0.6),
        IF(Q10=1,0.6,1-0.6),
        IF(R10=1,0.6,1-0.6))</f>
        <v>0.0082944</v>
      </c>
      <c r="U10" s="6" t="n">
        <f aca="false">PRODUCT(IF(M10=1,0.7,1-0.7), IF(L10=1,0.7,1-0.7),
          IF(N10=1,0.7,1-0.7),
          IF(O10=1,0.7,1-0.7),
          IF(P10=1,0.7,1-0.7),
          IF(Q10=1,0.7,1-0.7),
          IF(R10=1,0.7,1-0.7))</f>
        <v>0.0064827</v>
      </c>
      <c r="V10" s="6" t="n">
        <f aca="false">PRODUCT(IF(M10=1,0.8,1-0.8),IF(L10=1,0.8,1-0.8),
          IF(N10=1,0.8,1-0.8),
          IF(O10=1,0.8,1-0.8),
          IF(P10=1,0.8,1-0.8),
          IF(Q10=1,0.8,1-0.8),
          IF(R10=1,0.8,1-0.8))</f>
        <v>0.0032768</v>
      </c>
      <c r="W10" s="6" t="n">
        <f aca="false">PRODUCT(IF(M10=1,0.9,1-0.9), IF(L10=1,0.9,1-0.9),
          IF(N10=1,0.9,1-0.9),
          IF(O10=1,0.9,1-0.9),
          IF(P10=1,0.9,1-0.9),
          IF(Q10=1,0.9,1-0.9),
          IF(R10=1,0.9,1-0.9))</f>
        <v>0.0006561</v>
      </c>
      <c r="X10" s="2"/>
    </row>
    <row r="11" customFormat="false" ht="14.25" hidden="false" customHeight="false" outlineLevel="0" collapsed="false">
      <c r="A11" s="12" t="n">
        <v>1</v>
      </c>
      <c r="B11" s="12" t="n">
        <v>0</v>
      </c>
      <c r="C11" s="12" t="n">
        <v>1</v>
      </c>
      <c r="D11" s="12" t="n">
        <v>1</v>
      </c>
      <c r="E11" s="12" t="n">
        <v>0</v>
      </c>
      <c r="F11" s="12" t="n">
        <v>0</v>
      </c>
      <c r="G11" s="12" t="n">
        <f aca="false">PRODUCT(IF(F11=1,0.6,1-0.6),
          IF(A11=1,0.6,1-0.6),
          IF(D11=1,0.6,1-0.6),
          IF(C11=1,0.6,1-0.6))</f>
        <v>0.0864</v>
      </c>
      <c r="H11" s="12" t="n">
        <f aca="false">PRODUCT(IF(F11=1,0.7,1-0.7),
          IF(A11=1,0.7,1-0.7),
          IF(D11=1,0.7,1-0.7),
          IF(C11=1,0.7,1-0.7))</f>
        <v>0.1029</v>
      </c>
      <c r="I11" s="12" t="n">
        <f aca="false">PRODUCT(IF(F11=1,0.8,1-0.8),
          IF(A11=1,0.8,1-0.8),
          IF(D11=1,0.8,1-0.8),
          IF(C11=1,0.8,1-0.8))</f>
        <v>0.1024</v>
      </c>
      <c r="J11" s="12" t="n">
        <f aca="false">PRODUCT(IF(F11=1,0.9,1-0.9),
          IF(A11=1,0.9,1-0.9),
          IF(D11=1,0.9,1-0.9),
          IF(C11=1,0.9,1-0.9))</f>
        <v>0.0729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0</v>
      </c>
      <c r="Q11" s="2" t="n">
        <v>0</v>
      </c>
      <c r="R11" s="2" t="n">
        <v>0</v>
      </c>
      <c r="S11" s="1"/>
      <c r="T11" s="6" t="n">
        <f aca="false">PRODUCT(IF(M11=1,0.6,1-0.6), IF(L11=1,0.6,1-0.6),
        IF(N11=1,0.6,1-0.6),
        IF(O11=1,0.6,1-0.6),
        IF(P11=1,0.6,1-0.6),
        IF(Q11=1,0.6,1-0.6),
        IF(R11=1,0.6,1-0.6))</f>
        <v>0.0036864</v>
      </c>
      <c r="U11" s="6" t="n">
        <f aca="false">PRODUCT(IF(M11=1,0.7,1-0.7), IF(L11=1,0.7,1-0.7),
          IF(N11=1,0.7,1-0.7),
          IF(O11=1,0.7,1-0.7),
          IF(P11=1,0.7,1-0.7),
          IF(Q11=1,0.7,1-0.7),
          IF(R11=1,0.7,1-0.7))</f>
        <v>0.0011907</v>
      </c>
      <c r="V11" s="6" t="n">
        <f aca="false">PRODUCT(IF(M11=1,0.8,1-0.8),IF(L11=1,0.8,1-0.8),
          IF(N11=1,0.8,1-0.8),
          IF(O11=1,0.8,1-0.8),
          IF(P11=1,0.8,1-0.8),
          IF(Q11=1,0.8,1-0.8),
          IF(R11=1,0.8,1-0.8))</f>
        <v>0.0002048</v>
      </c>
      <c r="W11" s="6" t="n">
        <f aca="false">PRODUCT(IF(M11=1,0.9,1-0.9), IF(L11=1,0.9,1-0.9),
          IF(N11=1,0.9,1-0.9),
          IF(O11=1,0.9,1-0.9),
          IF(P11=1,0.9,1-0.9),
          IF(Q11=1,0.9,1-0.9),
          IF(R11=1,0.9,1-0.9))</f>
        <v>8.09999999999999E-006</v>
      </c>
      <c r="X11" s="2"/>
    </row>
    <row r="12" customFormat="false" ht="14.25" hidden="false" customHeight="false" outlineLevel="0" collapsed="false">
      <c r="A12" s="12" t="n">
        <v>1</v>
      </c>
      <c r="B12" s="12" t="n">
        <v>0</v>
      </c>
      <c r="C12" s="12" t="n">
        <v>1</v>
      </c>
      <c r="D12" s="12" t="n">
        <v>1</v>
      </c>
      <c r="E12" s="12" t="n">
        <v>0</v>
      </c>
      <c r="F12" s="12" t="n">
        <v>1</v>
      </c>
      <c r="G12" s="12" t="n">
        <f aca="false">PRODUCT(IF(F12=1,0.6,1-0.6),
          IF(A12=1,0.6,1-0.6),
          IF(D12=1,0.6,1-0.6),
          IF(C12=1,0.6,1-0.6))</f>
        <v>0.1296</v>
      </c>
      <c r="H12" s="12" t="n">
        <f aca="false">PRODUCT(IF(F12=1,0.7,1-0.7),
          IF(A12=1,0.7,1-0.7),
          IF(D12=1,0.7,1-0.7),
          IF(C12=1,0.7,1-0.7))</f>
        <v>0.2401</v>
      </c>
      <c r="I12" s="12" t="n">
        <f aca="false">PRODUCT(IF(F12=1,0.8,1-0.8),
          IF(A12=1,0.8,1-0.8),
          IF(D12=1,0.8,1-0.8),
          IF(C12=1,0.8,1-0.8))</f>
        <v>0.4096</v>
      </c>
      <c r="J12" s="12" t="n">
        <f aca="false">PRODUCT(IF(F12=1,0.9,1-0.9),
          IF(A12=1,0.9,1-0.9),
          IF(D12=1,0.9,1-0.9),
          IF(C12=1,0.9,1-0.9))</f>
        <v>0.6561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0</v>
      </c>
      <c r="Q12" s="2" t="n">
        <v>0</v>
      </c>
      <c r="R12" s="2" t="n">
        <v>1</v>
      </c>
      <c r="S12" s="1"/>
      <c r="T12" s="6" t="n">
        <f aca="false">PRODUCT(IF(M12=1,0.6,1-0.6), IF(L12=1,0.6,1-0.6),
        IF(N12=1,0.6,1-0.6),
        IF(O12=1,0.6,1-0.6),
        IF(P12=1,0.6,1-0.6),
        IF(Q12=1,0.6,1-0.6),
        IF(R12=1,0.6,1-0.6))</f>
        <v>0.0055296</v>
      </c>
      <c r="U12" s="6" t="n">
        <f aca="false">PRODUCT(IF(M12=1,0.7,1-0.7), IF(L12=1,0.7,1-0.7),
          IF(N12=1,0.7,1-0.7),
          IF(O12=1,0.7,1-0.7),
          IF(P12=1,0.7,1-0.7),
          IF(Q12=1,0.7,1-0.7),
          IF(R12=1,0.7,1-0.7))</f>
        <v>0.0027783</v>
      </c>
      <c r="V12" s="6" t="n">
        <f aca="false">PRODUCT(IF(M12=1,0.8,1-0.8),IF(L12=1,0.8,1-0.8),
          IF(N12=1,0.8,1-0.8),
          IF(O12=1,0.8,1-0.8),
          IF(P12=1,0.8,1-0.8),
          IF(Q12=1,0.8,1-0.8),
          IF(R12=1,0.8,1-0.8))</f>
        <v>0.000819199999999999</v>
      </c>
      <c r="W12" s="6" t="n">
        <f aca="false">PRODUCT(IF(M12=1,0.9,1-0.9), IF(L12=1,0.9,1-0.9),
          IF(N12=1,0.9,1-0.9),
          IF(O12=1,0.9,1-0.9),
          IF(P12=1,0.9,1-0.9),
          IF(Q12=1,0.9,1-0.9),
          IF(R12=1,0.9,1-0.9))</f>
        <v>7.28999999999999E-005</v>
      </c>
      <c r="X12" s="2"/>
    </row>
    <row r="13" customFormat="false" ht="14.25" hidden="false" customHeight="false" outlineLevel="0" collapsed="false">
      <c r="G13" s="13" t="n">
        <f aca="false">SUM(G4:G12)</f>
        <v>0.6864</v>
      </c>
      <c r="H13" s="13" t="n">
        <f aca="false">SUM(H4:H12)</f>
        <v>0.8029</v>
      </c>
      <c r="I13" s="13" t="n">
        <f aca="false">SUM(I4:I12)</f>
        <v>0.9024</v>
      </c>
      <c r="J13" s="13" t="n">
        <f aca="false">SUM(J4:J12)</f>
        <v>0.9729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1</v>
      </c>
      <c r="R13" s="2" t="n">
        <v>0</v>
      </c>
      <c r="S13" s="1"/>
      <c r="T13" s="6" t="n">
        <f aca="false">PRODUCT(IF(M13=1,0.6,1-0.6), IF(L13=1,0.6,1-0.6),
        IF(N13=1,0.6,1-0.6),
        IF(O13=1,0.6,1-0.6),
        IF(P13=1,0.6,1-0.6),
        IF(Q13=1,0.6,1-0.6),
        IF(R13=1,0.6,1-0.6))</f>
        <v>0.0055296</v>
      </c>
      <c r="U13" s="6" t="n">
        <f aca="false">PRODUCT(IF(M13=1,0.7,1-0.7), IF(L13=1,0.7,1-0.7),
          IF(N13=1,0.7,1-0.7),
          IF(O13=1,0.7,1-0.7),
          IF(P13=1,0.7,1-0.7),
          IF(Q13=1,0.7,1-0.7),
          IF(R13=1,0.7,1-0.7))</f>
        <v>0.0027783</v>
      </c>
      <c r="V13" s="6" t="n">
        <f aca="false">PRODUCT(IF(M13=1,0.8,1-0.8),IF(L13=1,0.8,1-0.8),
          IF(N13=1,0.8,1-0.8),
          IF(O13=1,0.8,1-0.8),
          IF(P13=1,0.8,1-0.8),
          IF(Q13=1,0.8,1-0.8),
          IF(R13=1,0.8,1-0.8))</f>
        <v>0.000819199999999999</v>
      </c>
      <c r="W13" s="6" t="n">
        <f aca="false">PRODUCT(IF(M13=1,0.9,1-0.9), IF(L13=1,0.9,1-0.9),
          IF(N13=1,0.9,1-0.9),
          IF(O13=1,0.9,1-0.9),
          IF(P13=1,0.9,1-0.9),
          IF(Q13=1,0.9,1-0.9),
          IF(R13=1,0.9,1-0.9))</f>
        <v>7.28999999999999E-005</v>
      </c>
      <c r="X13" s="2"/>
    </row>
    <row r="14" customFormat="false" ht="14.25" hidden="false" customHeight="false" outlineLevel="0" collapsed="false">
      <c r="L14" s="2" t="n">
        <v>0</v>
      </c>
      <c r="M14" s="2" t="n">
        <v>0</v>
      </c>
      <c r="N14" s="2" t="n">
        <v>1</v>
      </c>
      <c r="O14" s="2" t="n">
        <v>1</v>
      </c>
      <c r="P14" s="2" t="n">
        <v>0</v>
      </c>
      <c r="Q14" s="2" t="n">
        <v>1</v>
      </c>
      <c r="R14" s="2" t="n">
        <v>1</v>
      </c>
      <c r="S14" s="1"/>
      <c r="T14" s="6" t="n">
        <f aca="false">PRODUCT(IF(M14=1,0.6,1-0.6), IF(L14=1,0.6,1-0.6),
        IF(N14=1,0.6,1-0.6),
        IF(O14=1,0.6,1-0.6),
        IF(P14=1,0.6,1-0.6),
        IF(Q14=1,0.6,1-0.6),
        IF(R14=1,0.6,1-0.6))</f>
        <v>0.0082944</v>
      </c>
      <c r="U14" s="6" t="n">
        <f aca="false">PRODUCT(IF(M14=1,0.7,1-0.7), IF(L14=1,0.7,1-0.7),
          IF(N14=1,0.7,1-0.7),
          IF(O14=1,0.7,1-0.7),
          IF(P14=1,0.7,1-0.7),
          IF(Q14=1,0.7,1-0.7),
          IF(R14=1,0.7,1-0.7))</f>
        <v>0.0064827</v>
      </c>
      <c r="V14" s="6" t="n">
        <f aca="false">PRODUCT(IF(M14=1,0.8,1-0.8),IF(L14=1,0.8,1-0.8),
          IF(N14=1,0.8,1-0.8),
          IF(O14=1,0.8,1-0.8),
          IF(P14=1,0.8,1-0.8),
          IF(Q14=1,0.8,1-0.8),
          IF(R14=1,0.8,1-0.8))</f>
        <v>0.0032768</v>
      </c>
      <c r="W14" s="6" t="n">
        <f aca="false">PRODUCT(IF(M14=1,0.9,1-0.9), IF(L14=1,0.9,1-0.9),
          IF(N14=1,0.9,1-0.9),
          IF(O14=1,0.9,1-0.9),
          IF(P14=1,0.9,1-0.9),
          IF(Q14=1,0.9,1-0.9),
          IF(R14=1,0.9,1-0.9))</f>
        <v>0.0006561</v>
      </c>
      <c r="X14" s="2"/>
    </row>
    <row r="15" customFormat="false" ht="14.25" hidden="false" customHeight="false" outlineLevel="0" collapsed="false">
      <c r="L15" s="2" t="n">
        <v>0</v>
      </c>
      <c r="M15" s="2" t="n">
        <v>0</v>
      </c>
      <c r="N15" s="2" t="n">
        <v>1</v>
      </c>
      <c r="O15" s="2" t="n">
        <v>1</v>
      </c>
      <c r="P15" s="2" t="n">
        <v>1</v>
      </c>
      <c r="Q15" s="2" t="n">
        <v>0</v>
      </c>
      <c r="R15" s="2" t="n">
        <v>0</v>
      </c>
      <c r="S15" s="1"/>
      <c r="T15" s="6" t="n">
        <f aca="false">PRODUCT(IF(M15=1,0.6,1-0.6), IF(L15=1,0.6,1-0.6),
        IF(N15=1,0.6,1-0.6),
        IF(O15=1,0.6,1-0.6),
        IF(P15=1,0.6,1-0.6),
        IF(Q15=1,0.6,1-0.6),
        IF(R15=1,0.6,1-0.6))</f>
        <v>0.0055296</v>
      </c>
      <c r="U15" s="6" t="n">
        <f aca="false">PRODUCT(IF(M15=1,0.7,1-0.7), IF(L15=1,0.7,1-0.7),
          IF(N15=1,0.7,1-0.7),
          IF(O15=1,0.7,1-0.7),
          IF(P15=1,0.7,1-0.7),
          IF(Q15=1,0.7,1-0.7),
          IF(R15=1,0.7,1-0.7))</f>
        <v>0.0027783</v>
      </c>
      <c r="V15" s="6" t="n">
        <f aca="false">PRODUCT(IF(M15=1,0.8,1-0.8),IF(L15=1,0.8,1-0.8),
          IF(N15=1,0.8,1-0.8),
          IF(O15=1,0.8,1-0.8),
          IF(P15=1,0.8,1-0.8),
          IF(Q15=1,0.8,1-0.8),
          IF(R15=1,0.8,1-0.8))</f>
        <v>0.000819199999999999</v>
      </c>
      <c r="W15" s="6" t="n">
        <f aca="false">PRODUCT(IF(M15=1,0.9,1-0.9), IF(L15=1,0.9,1-0.9),
          IF(N15=1,0.9,1-0.9),
          IF(O15=1,0.9,1-0.9),
          IF(P15=1,0.9,1-0.9),
          IF(Q15=1,0.9,1-0.9),
          IF(R15=1,0.9,1-0.9))</f>
        <v>7.28999999999999E-005</v>
      </c>
      <c r="X15" s="2"/>
    </row>
    <row r="16" customFormat="false" ht="14.25" hidden="false" customHeight="false" outlineLevel="0" collapsed="false">
      <c r="L16" s="2" t="n">
        <v>0</v>
      </c>
      <c r="M16" s="2" t="n">
        <v>0</v>
      </c>
      <c r="N16" s="2" t="n">
        <v>1</v>
      </c>
      <c r="O16" s="2" t="n">
        <v>1</v>
      </c>
      <c r="P16" s="2" t="n">
        <v>1</v>
      </c>
      <c r="Q16" s="2" t="n">
        <v>0</v>
      </c>
      <c r="R16" s="2" t="n">
        <v>1</v>
      </c>
      <c r="S16" s="1"/>
      <c r="T16" s="6" t="n">
        <f aca="false">PRODUCT(IF(M16=1,0.6,1-0.6), IF(L16=1,0.6,1-0.6),
        IF(N16=1,0.6,1-0.6),
        IF(O16=1,0.6,1-0.6),
        IF(P16=1,0.6,1-0.6),
        IF(Q16=1,0.6,1-0.6),
        IF(R16=1,0.6,1-0.6))</f>
        <v>0.0082944</v>
      </c>
      <c r="U16" s="6" t="n">
        <f aca="false">PRODUCT(IF(M16=1,0.7,1-0.7), IF(L16=1,0.7,1-0.7),
          IF(N16=1,0.7,1-0.7),
          IF(O16=1,0.7,1-0.7),
          IF(P16=1,0.7,1-0.7),
          IF(Q16=1,0.7,1-0.7),
          IF(R16=1,0.7,1-0.7))</f>
        <v>0.0064827</v>
      </c>
      <c r="V16" s="6" t="n">
        <f aca="false">PRODUCT(IF(M16=1,0.8,1-0.8),IF(L16=1,0.8,1-0.8),
          IF(N16=1,0.8,1-0.8),
          IF(O16=1,0.8,1-0.8),
          IF(P16=1,0.8,1-0.8),
          IF(Q16=1,0.8,1-0.8),
          IF(R16=1,0.8,1-0.8))</f>
        <v>0.0032768</v>
      </c>
      <c r="W16" s="6" t="n">
        <f aca="false">PRODUCT(IF(M16=1,0.9,1-0.9), IF(L16=1,0.9,1-0.9),
          IF(N16=1,0.9,1-0.9),
          IF(O16=1,0.9,1-0.9),
          IF(P16=1,0.9,1-0.9),
          IF(Q16=1,0.9,1-0.9),
          IF(R16=1,0.9,1-0.9))</f>
        <v>0.0006561</v>
      </c>
      <c r="X16" s="2"/>
    </row>
    <row r="17" customFormat="false" ht="14.25" hidden="false" customHeight="false" outlineLevel="0" collapsed="false">
      <c r="L17" s="2" t="n">
        <v>0</v>
      </c>
      <c r="M17" s="2" t="n">
        <v>0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0</v>
      </c>
      <c r="S17" s="1"/>
      <c r="T17" s="6" t="n">
        <f aca="false">PRODUCT(IF(M17=1,0.6,1-0.6), IF(L17=1,0.6,1-0.6),
        IF(N17=1,0.6,1-0.6),
        IF(O17=1,0.6,1-0.6),
        IF(P17=1,0.6,1-0.6),
        IF(Q17=1,0.6,1-0.6),
        IF(R17=1,0.6,1-0.6))</f>
        <v>0.0082944</v>
      </c>
      <c r="U17" s="6" t="n">
        <f aca="false">PRODUCT(IF(M17=1,0.7,1-0.7), IF(L17=1,0.7,1-0.7),
          IF(N17=1,0.7,1-0.7),
          IF(O17=1,0.7,1-0.7),
          IF(P17=1,0.7,1-0.7),
          IF(Q17=1,0.7,1-0.7),
          IF(R17=1,0.7,1-0.7))</f>
        <v>0.0064827</v>
      </c>
      <c r="V17" s="6" t="n">
        <f aca="false">PRODUCT(IF(M17=1,0.8,1-0.8),IF(L17=1,0.8,1-0.8),
          IF(N17=1,0.8,1-0.8),
          IF(O17=1,0.8,1-0.8),
          IF(P17=1,0.8,1-0.8),
          IF(Q17=1,0.8,1-0.8),
          IF(R17=1,0.8,1-0.8))</f>
        <v>0.0032768</v>
      </c>
      <c r="W17" s="6" t="n">
        <f aca="false">PRODUCT(IF(M17=1,0.9,1-0.9), IF(L17=1,0.9,1-0.9),
          IF(N17=1,0.9,1-0.9),
          IF(O17=1,0.9,1-0.9),
          IF(P17=1,0.9,1-0.9),
          IF(Q17=1,0.9,1-0.9),
          IF(R17=1,0.9,1-0.9))</f>
        <v>0.0006561</v>
      </c>
      <c r="X17" s="2"/>
    </row>
    <row r="18" customFormat="false" ht="14.25" hidden="false" customHeight="false" outlineLevel="0" collapsed="false">
      <c r="L18" s="2" t="n">
        <v>0</v>
      </c>
      <c r="M18" s="2" t="n">
        <v>0</v>
      </c>
      <c r="N18" s="2" t="n">
        <v>1</v>
      </c>
      <c r="O18" s="2" t="n">
        <v>1</v>
      </c>
      <c r="P18" s="2" t="n">
        <v>1</v>
      </c>
      <c r="Q18" s="2" t="n">
        <v>1</v>
      </c>
      <c r="R18" s="2" t="n">
        <v>1</v>
      </c>
      <c r="S18" s="1"/>
      <c r="T18" s="6" t="n">
        <f aca="false">PRODUCT(IF(M18=1,0.6,1-0.6), IF(L18=1,0.6,1-0.6),
        IF(N18=1,0.6,1-0.6),
        IF(O18=1,0.6,1-0.6),
        IF(P18=1,0.6,1-0.6),
        IF(Q18=1,0.6,1-0.6),
        IF(R18=1,0.6,1-0.6))</f>
        <v>0.0124416</v>
      </c>
      <c r="U18" s="6" t="n">
        <f aca="false">PRODUCT(IF(M18=1,0.7,1-0.7), IF(L18=1,0.7,1-0.7),
          IF(N18=1,0.7,1-0.7),
          IF(O18=1,0.7,1-0.7),
          IF(P18=1,0.7,1-0.7),
          IF(Q18=1,0.7,1-0.7),
          IF(R18=1,0.7,1-0.7))</f>
        <v>0.0151263</v>
      </c>
      <c r="V18" s="6" t="n">
        <f aca="false">PRODUCT(IF(M18=1,0.8,1-0.8),IF(L18=1,0.8,1-0.8),
          IF(N18=1,0.8,1-0.8),
          IF(O18=1,0.8,1-0.8),
          IF(P18=1,0.8,1-0.8),
          IF(Q18=1,0.8,1-0.8),
          IF(R18=1,0.8,1-0.8))</f>
        <v>0.0131072</v>
      </c>
      <c r="W18" s="6" t="n">
        <f aca="false">PRODUCT(IF(M18=1,0.9,1-0.9), IF(L18=1,0.9,1-0.9),
          IF(N18=1,0.9,1-0.9),
          IF(O18=1,0.9,1-0.9),
          IF(P18=1,0.9,1-0.9),
          IF(Q18=1,0.9,1-0.9),
          IF(R18=1,0.9,1-0.9))</f>
        <v>0.0059049</v>
      </c>
      <c r="X18" s="2"/>
    </row>
    <row r="19" customFormat="false" ht="14.25" hidden="false" customHeight="false" outlineLevel="0" collapsed="false">
      <c r="L19" s="2" t="n">
        <v>0</v>
      </c>
      <c r="M19" s="2" t="n">
        <v>1</v>
      </c>
      <c r="N19" s="2" t="n">
        <v>1</v>
      </c>
      <c r="O19" s="2" t="n">
        <v>0</v>
      </c>
      <c r="P19" s="2" t="n">
        <v>0</v>
      </c>
      <c r="Q19" s="2" t="n">
        <v>0</v>
      </c>
      <c r="R19" s="2" t="n">
        <v>0</v>
      </c>
      <c r="S19" s="1"/>
      <c r="T19" s="6" t="n">
        <f aca="false">PRODUCT(IF(M19=1,0.6,1-0.6), IF(L19=1,0.6,1-0.6),
        IF(N19=1,0.6,1-0.6),
        IF(O19=1,0.6,1-0.6),
        IF(P19=1,0.6,1-0.6),
        IF(Q19=1,0.6,1-0.6),
        IF(R19=1,0.6,1-0.6))</f>
        <v>0.0036864</v>
      </c>
      <c r="U19" s="6" t="n">
        <f aca="false">PRODUCT(IF(M19=1,0.7,1-0.7), IF(L19=1,0.7,1-0.7),
          IF(N19=1,0.7,1-0.7),
          IF(O19=1,0.7,1-0.7),
          IF(P19=1,0.7,1-0.7),
          IF(Q19=1,0.7,1-0.7),
          IF(R19=1,0.7,1-0.7))</f>
        <v>0.0011907</v>
      </c>
      <c r="V19" s="6" t="n">
        <f aca="false">PRODUCT(IF(M19=1,0.8,1-0.8),IF(L19=1,0.8,1-0.8),
          IF(N19=1,0.8,1-0.8),
          IF(O19=1,0.8,1-0.8),
          IF(P19=1,0.8,1-0.8),
          IF(Q19=1,0.8,1-0.8),
          IF(R19=1,0.8,1-0.8))</f>
        <v>0.0002048</v>
      </c>
      <c r="W19" s="6" t="n">
        <f aca="false">PRODUCT(IF(M19=1,0.9,1-0.9), IF(L19=1,0.9,1-0.9),
          IF(N19=1,0.9,1-0.9),
          IF(O19=1,0.9,1-0.9),
          IF(P19=1,0.9,1-0.9),
          IF(Q19=1,0.9,1-0.9),
          IF(R19=1,0.9,1-0.9))</f>
        <v>8.09999999999999E-006</v>
      </c>
      <c r="X19" s="2"/>
    </row>
    <row r="20" customFormat="false" ht="14.25" hidden="false" customHeight="false" outlineLevel="0" collapsed="false">
      <c r="L20" s="2" t="n">
        <v>0</v>
      </c>
      <c r="M20" s="2" t="n">
        <v>1</v>
      </c>
      <c r="N20" s="2" t="n">
        <v>1</v>
      </c>
      <c r="O20" s="2" t="n">
        <v>0</v>
      </c>
      <c r="P20" s="2" t="n">
        <v>0</v>
      </c>
      <c r="Q20" s="2" t="n">
        <v>0</v>
      </c>
      <c r="R20" s="2" t="n">
        <v>1</v>
      </c>
      <c r="S20" s="1"/>
      <c r="T20" s="6" t="n">
        <f aca="false">PRODUCT(IF(M20=1,0.6,1-0.6), IF(L20=1,0.6,1-0.6),
        IF(N20=1,0.6,1-0.6),
        IF(O20=1,0.6,1-0.6),
        IF(P20=1,0.6,1-0.6),
        IF(Q20=1,0.6,1-0.6),
        IF(R20=1,0.6,1-0.6))</f>
        <v>0.0055296</v>
      </c>
      <c r="U20" s="6" t="n">
        <f aca="false">PRODUCT(IF(M20=1,0.7,1-0.7), IF(L20=1,0.7,1-0.7),
          IF(N20=1,0.7,1-0.7),
          IF(O20=1,0.7,1-0.7),
          IF(P20=1,0.7,1-0.7),
          IF(Q20=1,0.7,1-0.7),
          IF(R20=1,0.7,1-0.7))</f>
        <v>0.0027783</v>
      </c>
      <c r="V20" s="6" t="n">
        <f aca="false">PRODUCT(IF(M20=1,0.8,1-0.8),IF(L20=1,0.8,1-0.8),
          IF(N20=1,0.8,1-0.8),
          IF(O20=1,0.8,1-0.8),
          IF(P20=1,0.8,1-0.8),
          IF(Q20=1,0.8,1-0.8),
          IF(R20=1,0.8,1-0.8))</f>
        <v>0.000819199999999999</v>
      </c>
      <c r="W20" s="6" t="n">
        <f aca="false">PRODUCT(IF(M20=1,0.9,1-0.9), IF(L20=1,0.9,1-0.9),
          IF(N20=1,0.9,1-0.9),
          IF(O20=1,0.9,1-0.9),
          IF(P20=1,0.9,1-0.9),
          IF(Q20=1,0.9,1-0.9),
          IF(R20=1,0.9,1-0.9))</f>
        <v>7.28999999999999E-005</v>
      </c>
      <c r="X20" s="2"/>
    </row>
    <row r="21" customFormat="false" ht="14.25" hidden="false" customHeight="false" outlineLevel="0" collapsed="false">
      <c r="L21" s="2" t="n">
        <v>0</v>
      </c>
      <c r="M21" s="2" t="n">
        <v>1</v>
      </c>
      <c r="N21" s="2" t="n">
        <v>1</v>
      </c>
      <c r="O21" s="2" t="n">
        <v>0</v>
      </c>
      <c r="P21" s="2" t="n">
        <v>0</v>
      </c>
      <c r="Q21" s="2" t="n">
        <v>1</v>
      </c>
      <c r="R21" s="2" t="n">
        <v>0</v>
      </c>
      <c r="S21" s="1"/>
      <c r="T21" s="6" t="n">
        <f aca="false">PRODUCT(IF(M21=1,0.6,1-0.6), IF(L21=1,0.6,1-0.6),
        IF(N21=1,0.6,1-0.6),
        IF(O21=1,0.6,1-0.6),
        IF(P21=1,0.6,1-0.6),
        IF(Q21=1,0.6,1-0.6),
        IF(R21=1,0.6,1-0.6))</f>
        <v>0.0055296</v>
      </c>
      <c r="U21" s="6" t="n">
        <f aca="false">PRODUCT(IF(M21=1,0.7,1-0.7), IF(L21=1,0.7,1-0.7),
          IF(N21=1,0.7,1-0.7),
          IF(O21=1,0.7,1-0.7),
          IF(P21=1,0.7,1-0.7),
          IF(Q21=1,0.7,1-0.7),
          IF(R21=1,0.7,1-0.7))</f>
        <v>0.0027783</v>
      </c>
      <c r="V21" s="6" t="n">
        <f aca="false">PRODUCT(IF(M21=1,0.8,1-0.8),IF(L21=1,0.8,1-0.8),
          IF(N21=1,0.8,1-0.8),
          IF(O21=1,0.8,1-0.8),
          IF(P21=1,0.8,1-0.8),
          IF(Q21=1,0.8,1-0.8),
          IF(R21=1,0.8,1-0.8))</f>
        <v>0.000819199999999999</v>
      </c>
      <c r="W21" s="6" t="n">
        <f aca="false">PRODUCT(IF(M21=1,0.9,1-0.9), IF(L21=1,0.9,1-0.9),
          IF(N21=1,0.9,1-0.9),
          IF(O21=1,0.9,1-0.9),
          IF(P21=1,0.9,1-0.9),
          IF(Q21=1,0.9,1-0.9),
          IF(R21=1,0.9,1-0.9))</f>
        <v>7.28999999999999E-005</v>
      </c>
      <c r="X21" s="2"/>
    </row>
    <row r="22" customFormat="false" ht="14.25" hidden="false" customHeight="false" outlineLevel="0" collapsed="false">
      <c r="L22" s="2" t="n">
        <v>0</v>
      </c>
      <c r="M22" s="2" t="n">
        <v>1</v>
      </c>
      <c r="N22" s="2" t="n">
        <v>1</v>
      </c>
      <c r="O22" s="2" t="n">
        <v>0</v>
      </c>
      <c r="P22" s="2" t="n">
        <v>0</v>
      </c>
      <c r="Q22" s="2" t="n">
        <v>1</v>
      </c>
      <c r="R22" s="2" t="n">
        <v>1</v>
      </c>
      <c r="S22" s="1"/>
      <c r="T22" s="6" t="n">
        <f aca="false">PRODUCT(IF(M22=1,0.6,1-0.6), IF(L22=1,0.6,1-0.6),
        IF(N22=1,0.6,1-0.6),
        IF(O22=1,0.6,1-0.6),
        IF(P22=1,0.6,1-0.6),
        IF(Q22=1,0.6,1-0.6),
        IF(R22=1,0.6,1-0.6))</f>
        <v>0.0082944</v>
      </c>
      <c r="U22" s="6" t="n">
        <f aca="false">PRODUCT(IF(M22=1,0.7,1-0.7), IF(L22=1,0.7,1-0.7),
          IF(N22=1,0.7,1-0.7),
          IF(O22=1,0.7,1-0.7),
          IF(P22=1,0.7,1-0.7),
          IF(Q22=1,0.7,1-0.7),
          IF(R22=1,0.7,1-0.7))</f>
        <v>0.0064827</v>
      </c>
      <c r="V22" s="6" t="n">
        <f aca="false">PRODUCT(IF(M22=1,0.8,1-0.8),IF(L22=1,0.8,1-0.8),
          IF(N22=1,0.8,1-0.8),
          IF(O22=1,0.8,1-0.8),
          IF(P22=1,0.8,1-0.8),
          IF(Q22=1,0.8,1-0.8),
          IF(R22=1,0.8,1-0.8))</f>
        <v>0.0032768</v>
      </c>
      <c r="W22" s="6" t="n">
        <f aca="false">PRODUCT(IF(M22=1,0.9,1-0.9), IF(L22=1,0.9,1-0.9),
          IF(N22=1,0.9,1-0.9),
          IF(O22=1,0.9,1-0.9),
          IF(P22=1,0.9,1-0.9),
          IF(Q22=1,0.9,1-0.9),
          IF(R22=1,0.9,1-0.9))</f>
        <v>0.0006561</v>
      </c>
      <c r="X22" s="2"/>
    </row>
    <row r="23" customFormat="false" ht="14.25" hidden="false" customHeight="false" outlineLevel="0" collapsed="false">
      <c r="L23" s="2" t="n">
        <v>0</v>
      </c>
      <c r="M23" s="2" t="n">
        <v>1</v>
      </c>
      <c r="N23" s="2" t="n">
        <v>1</v>
      </c>
      <c r="O23" s="2" t="n">
        <v>0</v>
      </c>
      <c r="P23" s="2" t="n">
        <v>1</v>
      </c>
      <c r="Q23" s="2" t="n">
        <v>0</v>
      </c>
      <c r="R23" s="2" t="n">
        <v>0</v>
      </c>
      <c r="S23" s="1"/>
      <c r="T23" s="6" t="n">
        <f aca="false">PRODUCT(IF(M23=1,0.6,1-0.6), IF(L23=1,0.6,1-0.6),
        IF(N23=1,0.6,1-0.6),
        IF(O23=1,0.6,1-0.6),
        IF(P23=1,0.6,1-0.6),
        IF(Q23=1,0.6,1-0.6),
        IF(R23=1,0.6,1-0.6))</f>
        <v>0.0055296</v>
      </c>
      <c r="U23" s="6" t="n">
        <f aca="false">PRODUCT(IF(M23=1,0.7,1-0.7), IF(L23=1,0.7,1-0.7),
          IF(N23=1,0.7,1-0.7),
          IF(O23=1,0.7,1-0.7),
          IF(P23=1,0.7,1-0.7),
          IF(Q23=1,0.7,1-0.7),
          IF(R23=1,0.7,1-0.7))</f>
        <v>0.0027783</v>
      </c>
      <c r="V23" s="6" t="n">
        <f aca="false">PRODUCT(IF(M23=1,0.8,1-0.8),IF(L23=1,0.8,1-0.8),
          IF(N23=1,0.8,1-0.8),
          IF(O23=1,0.8,1-0.8),
          IF(P23=1,0.8,1-0.8),
          IF(Q23=1,0.8,1-0.8),
          IF(R23=1,0.8,1-0.8))</f>
        <v>0.000819199999999999</v>
      </c>
      <c r="W23" s="6" t="n">
        <f aca="false">PRODUCT(IF(M23=1,0.9,1-0.9), IF(L23=1,0.9,1-0.9),
          IF(N23=1,0.9,1-0.9),
          IF(O23=1,0.9,1-0.9),
          IF(P23=1,0.9,1-0.9),
          IF(Q23=1,0.9,1-0.9),
          IF(R23=1,0.9,1-0.9))</f>
        <v>7.28999999999999E-005</v>
      </c>
      <c r="X23" s="2"/>
    </row>
    <row r="24" customFormat="false" ht="14.25" hidden="false" customHeight="false" outlineLevel="0" collapsed="false">
      <c r="L24" s="2" t="n">
        <v>0</v>
      </c>
      <c r="M24" s="2" t="n">
        <v>1</v>
      </c>
      <c r="N24" s="2" t="n">
        <v>1</v>
      </c>
      <c r="O24" s="2" t="n">
        <v>0</v>
      </c>
      <c r="P24" s="2" t="n">
        <v>1</v>
      </c>
      <c r="Q24" s="2" t="n">
        <v>0</v>
      </c>
      <c r="R24" s="2" t="n">
        <v>1</v>
      </c>
      <c r="S24" s="1"/>
      <c r="T24" s="6" t="n">
        <f aca="false">PRODUCT(IF(M24=1,0.6,1-0.6), IF(L24=1,0.6,1-0.6),
        IF(N24=1,0.6,1-0.6),
        IF(O24=1,0.6,1-0.6),
        IF(P24=1,0.6,1-0.6),
        IF(Q24=1,0.6,1-0.6),
        IF(R24=1,0.6,1-0.6))</f>
        <v>0.0082944</v>
      </c>
      <c r="U24" s="6" t="n">
        <f aca="false">PRODUCT(IF(M24=1,0.7,1-0.7), IF(L24=1,0.7,1-0.7),
          IF(N24=1,0.7,1-0.7),
          IF(O24=1,0.7,1-0.7),
          IF(P24=1,0.7,1-0.7),
          IF(Q24=1,0.7,1-0.7),
          IF(R24=1,0.7,1-0.7))</f>
        <v>0.0064827</v>
      </c>
      <c r="V24" s="6" t="n">
        <f aca="false">PRODUCT(IF(M24=1,0.8,1-0.8),IF(L24=1,0.8,1-0.8),
          IF(N24=1,0.8,1-0.8),
          IF(O24=1,0.8,1-0.8),
          IF(P24=1,0.8,1-0.8),
          IF(Q24=1,0.8,1-0.8),
          IF(R24=1,0.8,1-0.8))</f>
        <v>0.0032768</v>
      </c>
      <c r="W24" s="6" t="n">
        <f aca="false">PRODUCT(IF(M24=1,0.9,1-0.9), IF(L24=1,0.9,1-0.9),
          IF(N24=1,0.9,1-0.9),
          IF(O24=1,0.9,1-0.9),
          IF(P24=1,0.9,1-0.9),
          IF(Q24=1,0.9,1-0.9),
          IF(R24=1,0.9,1-0.9))</f>
        <v>0.0006561</v>
      </c>
      <c r="X24" s="2"/>
    </row>
    <row r="25" customFormat="false" ht="14.25" hidden="false" customHeight="false" outlineLevel="0" collapsed="false">
      <c r="L25" s="2" t="n">
        <v>0</v>
      </c>
      <c r="M25" s="2" t="n">
        <v>1</v>
      </c>
      <c r="N25" s="2" t="n">
        <v>1</v>
      </c>
      <c r="O25" s="2" t="n">
        <v>0</v>
      </c>
      <c r="P25" s="2" t="n">
        <v>1</v>
      </c>
      <c r="Q25" s="2" t="n">
        <v>1</v>
      </c>
      <c r="R25" s="2" t="n">
        <v>0</v>
      </c>
      <c r="S25" s="1"/>
      <c r="T25" s="6" t="n">
        <f aca="false">PRODUCT(IF(M25=1,0.6,1-0.6), IF(L25=1,0.6,1-0.6),
        IF(N25=1,0.6,1-0.6),
        IF(O25=1,0.6,1-0.6),
        IF(P25=1,0.6,1-0.6),
        IF(Q25=1,0.6,1-0.6),
        IF(R25=1,0.6,1-0.6))</f>
        <v>0.0082944</v>
      </c>
      <c r="U25" s="6" t="n">
        <f aca="false">PRODUCT(IF(M25=1,0.7,1-0.7), IF(L25=1,0.7,1-0.7),
          IF(N25=1,0.7,1-0.7),
          IF(O25=1,0.7,1-0.7),
          IF(P25=1,0.7,1-0.7),
          IF(Q25=1,0.7,1-0.7),
          IF(R25=1,0.7,1-0.7))</f>
        <v>0.0064827</v>
      </c>
      <c r="V25" s="6" t="n">
        <f aca="false">PRODUCT(IF(M25=1,0.8,1-0.8),IF(L25=1,0.8,1-0.8),
          IF(N25=1,0.8,1-0.8),
          IF(O25=1,0.8,1-0.8),
          IF(P25=1,0.8,1-0.8),
          IF(Q25=1,0.8,1-0.8),
          IF(R25=1,0.8,1-0.8))</f>
        <v>0.0032768</v>
      </c>
      <c r="W25" s="6" t="n">
        <f aca="false">PRODUCT(IF(M25=1,0.9,1-0.9), IF(L25=1,0.9,1-0.9),
          IF(N25=1,0.9,1-0.9),
          IF(O25=1,0.9,1-0.9),
          IF(P25=1,0.9,1-0.9),
          IF(Q25=1,0.9,1-0.9),
          IF(R25=1,0.9,1-0.9))</f>
        <v>0.0006561</v>
      </c>
      <c r="X25" s="2"/>
    </row>
    <row r="26" customFormat="false" ht="14.25" hidden="false" customHeight="false" outlineLevel="0" collapsed="false">
      <c r="L26" s="2" t="n">
        <v>0</v>
      </c>
      <c r="M26" s="2" t="n">
        <v>1</v>
      </c>
      <c r="N26" s="2" t="n">
        <v>1</v>
      </c>
      <c r="O26" s="2" t="n">
        <v>0</v>
      </c>
      <c r="P26" s="2" t="n">
        <v>1</v>
      </c>
      <c r="Q26" s="2" t="n">
        <v>1</v>
      </c>
      <c r="R26" s="2" t="n">
        <v>1</v>
      </c>
      <c r="S26" s="1"/>
      <c r="T26" s="6" t="n">
        <f aca="false">PRODUCT(IF(M26=1,0.6,1-0.6), IF(L26=1,0.6,1-0.6),
        IF(N26=1,0.6,1-0.6),
        IF(O26=1,0.6,1-0.6),
        IF(P26=1,0.6,1-0.6),
        IF(Q26=1,0.6,1-0.6),
        IF(R26=1,0.6,1-0.6))</f>
        <v>0.0124416</v>
      </c>
      <c r="U26" s="6" t="n">
        <f aca="false">PRODUCT(IF(M26=1,0.7,1-0.7), IF(L26=1,0.7,1-0.7),
          IF(N26=1,0.7,1-0.7),
          IF(O26=1,0.7,1-0.7),
          IF(P26=1,0.7,1-0.7),
          IF(Q26=1,0.7,1-0.7),
          IF(R26=1,0.7,1-0.7))</f>
        <v>0.0151263</v>
      </c>
      <c r="V26" s="6" t="n">
        <f aca="false">PRODUCT(IF(M26=1,0.8,1-0.8),IF(L26=1,0.8,1-0.8),
          IF(N26=1,0.8,1-0.8),
          IF(O26=1,0.8,1-0.8),
          IF(P26=1,0.8,1-0.8),
          IF(Q26=1,0.8,1-0.8),
          IF(R26=1,0.8,1-0.8))</f>
        <v>0.0131072</v>
      </c>
      <c r="W26" s="6" t="n">
        <f aca="false">PRODUCT(IF(M26=1,0.9,1-0.9), IF(L26=1,0.9,1-0.9),
          IF(N26=1,0.9,1-0.9),
          IF(O26=1,0.9,1-0.9),
          IF(P26=1,0.9,1-0.9),
          IF(Q26=1,0.9,1-0.9),
          IF(R26=1,0.9,1-0.9))</f>
        <v>0.0059049</v>
      </c>
      <c r="X26" s="2"/>
    </row>
    <row r="27" customFormat="false" ht="14.25" hidden="false" customHeight="false" outlineLevel="0" collapsed="false">
      <c r="L27" s="2" t="n">
        <v>0</v>
      </c>
      <c r="M27" s="2" t="n">
        <v>1</v>
      </c>
      <c r="N27" s="2" t="n">
        <v>1</v>
      </c>
      <c r="O27" s="2" t="n">
        <v>1</v>
      </c>
      <c r="P27" s="2" t="n">
        <v>0</v>
      </c>
      <c r="Q27" s="2" t="n">
        <v>0</v>
      </c>
      <c r="R27" s="2" t="n">
        <v>0</v>
      </c>
      <c r="S27" s="1"/>
      <c r="T27" s="6" t="n">
        <f aca="false">PRODUCT(IF(M27=1,0.6,1-0.6), IF(L27=1,0.6,1-0.6),
        IF(N27=1,0.6,1-0.6),
        IF(O27=1,0.6,1-0.6),
        IF(P27=1,0.6,1-0.6),
        IF(Q27=1,0.6,1-0.6),
        IF(R27=1,0.6,1-0.6))</f>
        <v>0.0055296</v>
      </c>
      <c r="U27" s="6" t="n">
        <f aca="false">PRODUCT(IF(M27=1,0.7,1-0.7), IF(L27=1,0.7,1-0.7),
          IF(N27=1,0.7,1-0.7),
          IF(O27=1,0.7,1-0.7),
          IF(P27=1,0.7,1-0.7),
          IF(Q27=1,0.7,1-0.7),
          IF(R27=1,0.7,1-0.7))</f>
        <v>0.0027783</v>
      </c>
      <c r="V27" s="6" t="n">
        <f aca="false">PRODUCT(IF(M27=1,0.8,1-0.8),IF(L27=1,0.8,1-0.8),
          IF(N27=1,0.8,1-0.8),
          IF(O27=1,0.8,1-0.8),
          IF(P27=1,0.8,1-0.8),
          IF(Q27=1,0.8,1-0.8),
          IF(R27=1,0.8,1-0.8))</f>
        <v>0.000819199999999999</v>
      </c>
      <c r="W27" s="6" t="n">
        <f aca="false">PRODUCT(IF(M27=1,0.9,1-0.9), IF(L27=1,0.9,1-0.9),
          IF(N27=1,0.9,1-0.9),
          IF(O27=1,0.9,1-0.9),
          IF(P27=1,0.9,1-0.9),
          IF(Q27=1,0.9,1-0.9),
          IF(R27=1,0.9,1-0.9))</f>
        <v>7.28999999999999E-005</v>
      </c>
      <c r="X27" s="2"/>
    </row>
    <row r="28" customFormat="false" ht="14.25" hidden="false" customHeight="false" outlineLevel="0" collapsed="false">
      <c r="L28" s="2" t="n">
        <v>0</v>
      </c>
      <c r="M28" s="2" t="n">
        <v>1</v>
      </c>
      <c r="N28" s="2" t="n">
        <v>1</v>
      </c>
      <c r="O28" s="2" t="n">
        <v>1</v>
      </c>
      <c r="P28" s="2" t="n">
        <v>0</v>
      </c>
      <c r="Q28" s="2" t="n">
        <v>0</v>
      </c>
      <c r="R28" s="2" t="n">
        <v>1</v>
      </c>
      <c r="S28" s="1"/>
      <c r="T28" s="6" t="n">
        <f aca="false">PRODUCT(IF(M28=1,0.6,1-0.6), IF(L28=1,0.6,1-0.6),
        IF(N28=1,0.6,1-0.6),
        IF(O28=1,0.6,1-0.6),
        IF(P28=1,0.6,1-0.6),
        IF(Q28=1,0.6,1-0.6),
        IF(R28=1,0.6,1-0.6))</f>
        <v>0.0082944</v>
      </c>
      <c r="U28" s="6" t="n">
        <f aca="false">PRODUCT(IF(M28=1,0.7,1-0.7), IF(L28=1,0.7,1-0.7),
          IF(N28=1,0.7,1-0.7),
          IF(O28=1,0.7,1-0.7),
          IF(P28=1,0.7,1-0.7),
          IF(Q28=1,0.7,1-0.7),
          IF(R28=1,0.7,1-0.7))</f>
        <v>0.0064827</v>
      </c>
      <c r="V28" s="6" t="n">
        <f aca="false">PRODUCT(IF(M28=1,0.8,1-0.8),IF(L28=1,0.8,1-0.8),
          IF(N28=1,0.8,1-0.8),
          IF(O28=1,0.8,1-0.8),
          IF(P28=1,0.8,1-0.8),
          IF(Q28=1,0.8,1-0.8),
          IF(R28=1,0.8,1-0.8))</f>
        <v>0.0032768</v>
      </c>
      <c r="W28" s="6" t="n">
        <f aca="false">PRODUCT(IF(M28=1,0.9,1-0.9), IF(L28=1,0.9,1-0.9),
          IF(N28=1,0.9,1-0.9),
          IF(O28=1,0.9,1-0.9),
          IF(P28=1,0.9,1-0.9),
          IF(Q28=1,0.9,1-0.9),
          IF(R28=1,0.9,1-0.9))</f>
        <v>0.0006561</v>
      </c>
      <c r="X28" s="2"/>
    </row>
    <row r="29" customFormat="false" ht="14.25" hidden="false" customHeight="false" outlineLevel="0" collapsed="false">
      <c r="L29" s="2" t="n">
        <v>0</v>
      </c>
      <c r="M29" s="2" t="n">
        <v>1</v>
      </c>
      <c r="N29" s="2" t="n">
        <v>1</v>
      </c>
      <c r="O29" s="2" t="n">
        <v>1</v>
      </c>
      <c r="P29" s="2" t="n">
        <v>0</v>
      </c>
      <c r="Q29" s="2" t="n">
        <v>1</v>
      </c>
      <c r="R29" s="2" t="n">
        <v>0</v>
      </c>
      <c r="S29" s="1"/>
      <c r="T29" s="6" t="n">
        <f aca="false">PRODUCT(IF(M29=1,0.6,1-0.6), IF(L29=1,0.6,1-0.6),
        IF(N29=1,0.6,1-0.6),
        IF(O29=1,0.6,1-0.6),
        IF(P29=1,0.6,1-0.6),
        IF(Q29=1,0.6,1-0.6),
        IF(R29=1,0.6,1-0.6))</f>
        <v>0.0082944</v>
      </c>
      <c r="U29" s="6" t="n">
        <f aca="false">PRODUCT(IF(M29=1,0.7,1-0.7), IF(L29=1,0.7,1-0.7),
          IF(N29=1,0.7,1-0.7),
          IF(O29=1,0.7,1-0.7),
          IF(P29=1,0.7,1-0.7),
          IF(Q29=1,0.7,1-0.7),
          IF(R29=1,0.7,1-0.7))</f>
        <v>0.0064827</v>
      </c>
      <c r="V29" s="6" t="n">
        <f aca="false">PRODUCT(IF(M29=1,0.8,1-0.8),IF(L29=1,0.8,1-0.8),
          IF(N29=1,0.8,1-0.8),
          IF(O29=1,0.8,1-0.8),
          IF(P29=1,0.8,1-0.8),
          IF(Q29=1,0.8,1-0.8),
          IF(R29=1,0.8,1-0.8))</f>
        <v>0.0032768</v>
      </c>
      <c r="W29" s="6" t="n">
        <f aca="false">PRODUCT(IF(M29=1,0.9,1-0.9), IF(L29=1,0.9,1-0.9),
          IF(N29=1,0.9,1-0.9),
          IF(O29=1,0.9,1-0.9),
          IF(P29=1,0.9,1-0.9),
          IF(Q29=1,0.9,1-0.9),
          IF(R29=1,0.9,1-0.9))</f>
        <v>0.0006561</v>
      </c>
      <c r="X29" s="2"/>
    </row>
    <row r="30" customFormat="false" ht="14.25" hidden="false" customHeight="false" outlineLevel="0" collapsed="false">
      <c r="L30" s="2" t="n">
        <v>0</v>
      </c>
      <c r="M30" s="2" t="n">
        <v>1</v>
      </c>
      <c r="N30" s="2" t="n">
        <v>1</v>
      </c>
      <c r="O30" s="2" t="n">
        <v>1</v>
      </c>
      <c r="P30" s="2" t="n">
        <v>0</v>
      </c>
      <c r="Q30" s="2" t="n">
        <v>1</v>
      </c>
      <c r="R30" s="2" t="n">
        <v>1</v>
      </c>
      <c r="S30" s="1"/>
      <c r="T30" s="6" t="n">
        <f aca="false">PRODUCT(IF(M30=1,0.6,1-0.6), IF(L30=1,0.6,1-0.6),
        IF(N30=1,0.6,1-0.6),
        IF(O30=1,0.6,1-0.6),
        IF(P30=1,0.6,1-0.6),
        IF(Q30=1,0.6,1-0.6),
        IF(R30=1,0.6,1-0.6))</f>
        <v>0.0124416</v>
      </c>
      <c r="U30" s="6" t="n">
        <f aca="false">PRODUCT(IF(M30=1,0.7,1-0.7), IF(L30=1,0.7,1-0.7),
          IF(N30=1,0.7,1-0.7),
          IF(O30=1,0.7,1-0.7),
          IF(P30=1,0.7,1-0.7),
          IF(Q30=1,0.7,1-0.7),
          IF(R30=1,0.7,1-0.7))</f>
        <v>0.0151263</v>
      </c>
      <c r="V30" s="6" t="n">
        <f aca="false">PRODUCT(IF(M30=1,0.8,1-0.8),IF(L30=1,0.8,1-0.8),
          IF(N30=1,0.8,1-0.8),
          IF(O30=1,0.8,1-0.8),
          IF(P30=1,0.8,1-0.8),
          IF(Q30=1,0.8,1-0.8),
          IF(R30=1,0.8,1-0.8))</f>
        <v>0.0131072</v>
      </c>
      <c r="W30" s="6" t="n">
        <f aca="false">PRODUCT(IF(M30=1,0.9,1-0.9), IF(L30=1,0.9,1-0.9),
          IF(N30=1,0.9,1-0.9),
          IF(O30=1,0.9,1-0.9),
          IF(P30=1,0.9,1-0.9),
          IF(Q30=1,0.9,1-0.9),
          IF(R30=1,0.9,1-0.9))</f>
        <v>0.0059049</v>
      </c>
      <c r="X30" s="2"/>
    </row>
    <row r="31" customFormat="false" ht="14.25" hidden="false" customHeight="false" outlineLevel="0" collapsed="false">
      <c r="L31" s="2" t="n">
        <v>0</v>
      </c>
      <c r="M31" s="2" t="n">
        <v>1</v>
      </c>
      <c r="N31" s="2" t="n">
        <v>1</v>
      </c>
      <c r="O31" s="2" t="n">
        <v>1</v>
      </c>
      <c r="P31" s="2" t="n">
        <v>1</v>
      </c>
      <c r="Q31" s="2" t="n">
        <v>0</v>
      </c>
      <c r="R31" s="2" t="n">
        <v>0</v>
      </c>
      <c r="S31" s="1"/>
      <c r="T31" s="6" t="n">
        <f aca="false">PRODUCT(IF(M31=1,0.6,1-0.6), IF(L31=1,0.6,1-0.6),
        IF(N31=1,0.6,1-0.6),
        IF(O31=1,0.6,1-0.6),
        IF(P31=1,0.6,1-0.6),
        IF(Q31=1,0.6,1-0.6),
        IF(R31=1,0.6,1-0.6))</f>
        <v>0.0082944</v>
      </c>
      <c r="U31" s="6" t="n">
        <f aca="false">PRODUCT(IF(M31=1,0.7,1-0.7), IF(L31=1,0.7,1-0.7),
          IF(N31=1,0.7,1-0.7),
          IF(O31=1,0.7,1-0.7),
          IF(P31=1,0.7,1-0.7),
          IF(Q31=1,0.7,1-0.7),
          IF(R31=1,0.7,1-0.7))</f>
        <v>0.0064827</v>
      </c>
      <c r="V31" s="6" t="n">
        <f aca="false">PRODUCT(IF(M31=1,0.8,1-0.8),IF(L31=1,0.8,1-0.8),
          IF(N31=1,0.8,1-0.8),
          IF(O31=1,0.8,1-0.8),
          IF(P31=1,0.8,1-0.8),
          IF(Q31=1,0.8,1-0.8),
          IF(R31=1,0.8,1-0.8))</f>
        <v>0.0032768</v>
      </c>
      <c r="W31" s="6" t="n">
        <f aca="false">PRODUCT(IF(M31=1,0.9,1-0.9), IF(L31=1,0.9,1-0.9),
          IF(N31=1,0.9,1-0.9),
          IF(O31=1,0.9,1-0.9),
          IF(P31=1,0.9,1-0.9),
          IF(Q31=1,0.9,1-0.9),
          IF(R31=1,0.9,1-0.9))</f>
        <v>0.0006561</v>
      </c>
      <c r="X31" s="2"/>
    </row>
    <row r="32" customFormat="false" ht="14.25" hidden="false" customHeight="false" outlineLevel="0" collapsed="false">
      <c r="L32" s="2" t="n">
        <v>0</v>
      </c>
      <c r="M32" s="2" t="n">
        <v>1</v>
      </c>
      <c r="N32" s="2" t="n">
        <v>1</v>
      </c>
      <c r="O32" s="2" t="n">
        <v>1</v>
      </c>
      <c r="P32" s="2" t="n">
        <v>1</v>
      </c>
      <c r="Q32" s="2" t="n">
        <v>0</v>
      </c>
      <c r="R32" s="2" t="n">
        <v>1</v>
      </c>
      <c r="S32" s="1"/>
      <c r="T32" s="6" t="n">
        <f aca="false">PRODUCT(IF(M32=1,0.6,1-0.6), IF(L32=1,0.6,1-0.6),
        IF(N32=1,0.6,1-0.6),
        IF(O32=1,0.6,1-0.6),
        IF(P32=1,0.6,1-0.6),
        IF(Q32=1,0.6,1-0.6),
        IF(R32=1,0.6,1-0.6))</f>
        <v>0.0124416</v>
      </c>
      <c r="U32" s="6" t="n">
        <f aca="false">PRODUCT(IF(M32=1,0.7,1-0.7), IF(L32=1,0.7,1-0.7),
          IF(N32=1,0.7,1-0.7),
          IF(O32=1,0.7,1-0.7),
          IF(P32=1,0.7,1-0.7),
          IF(Q32=1,0.7,1-0.7),
          IF(R32=1,0.7,1-0.7))</f>
        <v>0.0151263</v>
      </c>
      <c r="V32" s="6" t="n">
        <f aca="false">PRODUCT(IF(M32=1,0.8,1-0.8),IF(L32=1,0.8,1-0.8),
          IF(N32=1,0.8,1-0.8),
          IF(O32=1,0.8,1-0.8),
          IF(P32=1,0.8,1-0.8),
          IF(Q32=1,0.8,1-0.8),
          IF(R32=1,0.8,1-0.8))</f>
        <v>0.0131072</v>
      </c>
      <c r="W32" s="6" t="n">
        <f aca="false">PRODUCT(IF(M32=1,0.9,1-0.9), IF(L32=1,0.9,1-0.9),
          IF(N32=1,0.9,1-0.9),
          IF(O32=1,0.9,1-0.9),
          IF(P32=1,0.9,1-0.9),
          IF(Q32=1,0.9,1-0.9),
          IF(R32=1,0.9,1-0.9))</f>
        <v>0.0059049</v>
      </c>
      <c r="X32" s="2"/>
    </row>
    <row r="33" customFormat="false" ht="14.25" hidden="false" customHeight="false" outlineLevel="0" collapsed="false">
      <c r="L33" s="2" t="n">
        <v>0</v>
      </c>
      <c r="M33" s="2" t="n">
        <v>1</v>
      </c>
      <c r="N33" s="2" t="n">
        <v>1</v>
      </c>
      <c r="O33" s="2" t="n">
        <v>1</v>
      </c>
      <c r="P33" s="2" t="n">
        <v>1</v>
      </c>
      <c r="Q33" s="2" t="n">
        <v>1</v>
      </c>
      <c r="R33" s="2" t="n">
        <v>0</v>
      </c>
      <c r="S33" s="1"/>
      <c r="T33" s="6" t="n">
        <f aca="false">PRODUCT(IF(M33=1,0.6,1-0.6), IF(L33=1,0.6,1-0.6),
        IF(N33=1,0.6,1-0.6),
        IF(O33=1,0.6,1-0.6),
        IF(P33=1,0.6,1-0.6),
        IF(Q33=1,0.6,1-0.6),
        IF(R33=1,0.6,1-0.6))</f>
        <v>0.0124416</v>
      </c>
      <c r="U33" s="6" t="n">
        <f aca="false">PRODUCT(IF(M33=1,0.7,1-0.7), IF(L33=1,0.7,1-0.7),
          IF(N33=1,0.7,1-0.7),
          IF(O33=1,0.7,1-0.7),
          IF(P33=1,0.7,1-0.7),
          IF(Q33=1,0.7,1-0.7),
          IF(R33=1,0.7,1-0.7))</f>
        <v>0.0151263</v>
      </c>
      <c r="V33" s="6" t="n">
        <f aca="false">PRODUCT(IF(M33=1,0.8,1-0.8),IF(L33=1,0.8,1-0.8),
          IF(N33=1,0.8,1-0.8),
          IF(O33=1,0.8,1-0.8),
          IF(P33=1,0.8,1-0.8),
          IF(Q33=1,0.8,1-0.8),
          IF(R33=1,0.8,1-0.8))</f>
        <v>0.0131072</v>
      </c>
      <c r="W33" s="6" t="n">
        <f aca="false">PRODUCT(IF(M33=1,0.9,1-0.9), IF(L33=1,0.9,1-0.9),
          IF(N33=1,0.9,1-0.9),
          IF(O33=1,0.9,1-0.9),
          IF(P33=1,0.9,1-0.9),
          IF(Q33=1,0.9,1-0.9),
          IF(R33=1,0.9,1-0.9))</f>
        <v>0.0059049</v>
      </c>
      <c r="X33" s="2"/>
    </row>
    <row r="34" customFormat="false" ht="14.25" hidden="false" customHeight="false" outlineLevel="0" collapsed="false">
      <c r="L34" s="2" t="n">
        <v>0</v>
      </c>
      <c r="M34" s="2" t="n">
        <v>1</v>
      </c>
      <c r="N34" s="2" t="n">
        <v>1</v>
      </c>
      <c r="O34" s="2" t="n">
        <v>1</v>
      </c>
      <c r="P34" s="2" t="n">
        <v>1</v>
      </c>
      <c r="Q34" s="2" t="n">
        <v>1</v>
      </c>
      <c r="R34" s="2" t="n">
        <v>1</v>
      </c>
      <c r="S34" s="1"/>
      <c r="T34" s="6" t="n">
        <f aca="false">PRODUCT(IF(M34=1,0.6,1-0.6), IF(L34=1,0.6,1-0.6),
        IF(N34=1,0.6,1-0.6),
        IF(O34=1,0.6,1-0.6),
        IF(P34=1,0.6,1-0.6),
        IF(Q34=1,0.6,1-0.6),
        IF(R34=1,0.6,1-0.6))</f>
        <v>0.0186624</v>
      </c>
      <c r="U34" s="6" t="n">
        <f aca="false">PRODUCT(IF(M34=1,0.7,1-0.7), IF(L34=1,0.7,1-0.7),
          IF(N34=1,0.7,1-0.7),
          IF(O34=1,0.7,1-0.7),
          IF(P34=1,0.7,1-0.7),
          IF(Q34=1,0.7,1-0.7),
          IF(R34=1,0.7,1-0.7))</f>
        <v>0.0352947</v>
      </c>
      <c r="V34" s="6" t="n">
        <f aca="false">PRODUCT(IF(M34=1,0.8,1-0.8),IF(L34=1,0.8,1-0.8),
          IF(N34=1,0.8,1-0.8),
          IF(O34=1,0.8,1-0.8),
          IF(P34=1,0.8,1-0.8),
          IF(Q34=1,0.8,1-0.8),
          IF(R34=1,0.8,1-0.8))</f>
        <v>0.0524288</v>
      </c>
      <c r="W34" s="6" t="n">
        <f aca="false">PRODUCT(IF(M34=1,0.9,1-0.9), IF(L34=1,0.9,1-0.9),
          IF(N34=1,0.9,1-0.9),
          IF(O34=1,0.9,1-0.9),
          IF(P34=1,0.9,1-0.9),
          IF(Q34=1,0.9,1-0.9),
          IF(R34=1,0.9,1-0.9))</f>
        <v>0.0531441</v>
      </c>
      <c r="X34" s="2"/>
    </row>
    <row r="35" customFormat="false" ht="14.25" hidden="false" customHeight="false" outlineLevel="0" collapsed="false">
      <c r="L35" s="2" t="n">
        <v>1</v>
      </c>
      <c r="M35" s="2" t="n">
        <v>0</v>
      </c>
      <c r="N35" s="2" t="n">
        <v>1</v>
      </c>
      <c r="O35" s="2" t="n">
        <v>0</v>
      </c>
      <c r="P35" s="2" t="n">
        <v>0</v>
      </c>
      <c r="Q35" s="2" t="n">
        <v>0</v>
      </c>
      <c r="R35" s="2" t="n">
        <v>0</v>
      </c>
      <c r="S35" s="1"/>
      <c r="T35" s="6" t="n">
        <f aca="false">PRODUCT(IF(M35=1,0.6,1-0.6), IF(L35=1,0.6,1-0.6),
        IF(N35=1,0.6,1-0.6),
        IF(O35=1,0.6,1-0.6),
        IF(P35=1,0.6,1-0.6),
        IF(Q35=1,0.6,1-0.6),
        IF(R35=1,0.6,1-0.6))</f>
        <v>0.0036864</v>
      </c>
      <c r="U35" s="6" t="n">
        <f aca="false">PRODUCT(IF(M35=1,0.7,1-0.7), IF(L35=1,0.7,1-0.7),
          IF(N35=1,0.7,1-0.7),
          IF(O35=1,0.7,1-0.7),
          IF(P35=1,0.7,1-0.7),
          IF(Q35=1,0.7,1-0.7),
          IF(R35=1,0.7,1-0.7))</f>
        <v>0.0011907</v>
      </c>
      <c r="V35" s="6" t="n">
        <f aca="false">PRODUCT(IF(M35=1,0.8,1-0.8),IF(L35=1,0.8,1-0.8),
          IF(N35=1,0.8,1-0.8),
          IF(O35=1,0.8,1-0.8),
          IF(P35=1,0.8,1-0.8),
          IF(Q35=1,0.8,1-0.8),
          IF(R35=1,0.8,1-0.8))</f>
        <v>0.0002048</v>
      </c>
      <c r="W35" s="6" t="n">
        <f aca="false">PRODUCT(IF(M35=1,0.9,1-0.9), IF(L35=1,0.9,1-0.9),
          IF(N35=1,0.9,1-0.9),
          IF(O35=1,0.9,1-0.9),
          IF(P35=1,0.9,1-0.9),
          IF(Q35=1,0.9,1-0.9),
          IF(R35=1,0.9,1-0.9))</f>
        <v>8.09999999999999E-006</v>
      </c>
      <c r="X35" s="2"/>
    </row>
    <row r="36" customFormat="false" ht="14.25" hidden="false" customHeight="false" outlineLevel="0" collapsed="false">
      <c r="L36" s="2" t="n">
        <v>1</v>
      </c>
      <c r="M36" s="2" t="n">
        <v>0</v>
      </c>
      <c r="N36" s="2" t="n">
        <v>1</v>
      </c>
      <c r="O36" s="2" t="n">
        <v>0</v>
      </c>
      <c r="P36" s="2" t="n">
        <v>0</v>
      </c>
      <c r="Q36" s="2" t="n">
        <v>0</v>
      </c>
      <c r="R36" s="2" t="n">
        <v>1</v>
      </c>
      <c r="S36" s="1"/>
      <c r="T36" s="6" t="n">
        <f aca="false">PRODUCT(IF(M36=1,0.6,1-0.6), IF(L36=1,0.6,1-0.6),
        IF(N36=1,0.6,1-0.6),
        IF(O36=1,0.6,1-0.6),
        IF(P36=1,0.6,1-0.6),
        IF(Q36=1,0.6,1-0.6),
        IF(R36=1,0.6,1-0.6))</f>
        <v>0.0055296</v>
      </c>
      <c r="U36" s="6" t="n">
        <f aca="false">PRODUCT(IF(M36=1,0.7,1-0.7), IF(L36=1,0.7,1-0.7),
          IF(N36=1,0.7,1-0.7),
          IF(O36=1,0.7,1-0.7),
          IF(P36=1,0.7,1-0.7),
          IF(Q36=1,0.7,1-0.7),
          IF(R36=1,0.7,1-0.7))</f>
        <v>0.0027783</v>
      </c>
      <c r="V36" s="6" t="n">
        <f aca="false">PRODUCT(IF(M36=1,0.8,1-0.8),IF(L36=1,0.8,1-0.8),
          IF(N36=1,0.8,1-0.8),
          IF(O36=1,0.8,1-0.8),
          IF(P36=1,0.8,1-0.8),
          IF(Q36=1,0.8,1-0.8),
          IF(R36=1,0.8,1-0.8))</f>
        <v>0.000819199999999999</v>
      </c>
      <c r="W36" s="6" t="n">
        <f aca="false">PRODUCT(IF(M36=1,0.9,1-0.9), IF(L36=1,0.9,1-0.9),
          IF(N36=1,0.9,1-0.9),
          IF(O36=1,0.9,1-0.9),
          IF(P36=1,0.9,1-0.9),
          IF(Q36=1,0.9,1-0.9),
          IF(R36=1,0.9,1-0.9))</f>
        <v>7.28999999999999E-005</v>
      </c>
      <c r="X36" s="2"/>
    </row>
    <row r="37" customFormat="false" ht="14.25" hidden="false" customHeight="false" outlineLevel="0" collapsed="false">
      <c r="L37" s="2" t="n">
        <v>1</v>
      </c>
      <c r="M37" s="2" t="n">
        <v>0</v>
      </c>
      <c r="N37" s="2" t="n">
        <v>1</v>
      </c>
      <c r="O37" s="2" t="n">
        <v>0</v>
      </c>
      <c r="P37" s="2" t="n">
        <v>0</v>
      </c>
      <c r="Q37" s="2" t="n">
        <v>1</v>
      </c>
      <c r="R37" s="2" t="n">
        <v>0</v>
      </c>
      <c r="S37" s="1"/>
      <c r="T37" s="6" t="n">
        <f aca="false">PRODUCT(IF(M37=1,0.6,1-0.6), IF(L37=1,0.6,1-0.6),
        IF(N37=1,0.6,1-0.6),
        IF(O37=1,0.6,1-0.6),
        IF(P37=1,0.6,1-0.6),
        IF(Q37=1,0.6,1-0.6),
        IF(R37=1,0.6,1-0.6))</f>
        <v>0.0055296</v>
      </c>
      <c r="U37" s="6" t="n">
        <f aca="false">PRODUCT(IF(M37=1,0.7,1-0.7), IF(L37=1,0.7,1-0.7),
          IF(N37=1,0.7,1-0.7),
          IF(O37=1,0.7,1-0.7),
          IF(P37=1,0.7,1-0.7),
          IF(Q37=1,0.7,1-0.7),
          IF(R37=1,0.7,1-0.7))</f>
        <v>0.0027783</v>
      </c>
      <c r="V37" s="6" t="n">
        <f aca="false">PRODUCT(IF(M37=1,0.8,1-0.8),IF(L37=1,0.8,1-0.8),
          IF(N37=1,0.8,1-0.8),
          IF(O37=1,0.8,1-0.8),
          IF(P37=1,0.8,1-0.8),
          IF(Q37=1,0.8,1-0.8),
          IF(R37=1,0.8,1-0.8))</f>
        <v>0.000819199999999999</v>
      </c>
      <c r="W37" s="6" t="n">
        <f aca="false">PRODUCT(IF(M37=1,0.9,1-0.9), IF(L37=1,0.9,1-0.9),
          IF(N37=1,0.9,1-0.9),
          IF(O37=1,0.9,1-0.9),
          IF(P37=1,0.9,1-0.9),
          IF(Q37=1,0.9,1-0.9),
          IF(R37=1,0.9,1-0.9))</f>
        <v>7.28999999999999E-005</v>
      </c>
      <c r="X37" s="2"/>
    </row>
    <row r="38" customFormat="false" ht="14.25" hidden="false" customHeight="false" outlineLevel="0" collapsed="false">
      <c r="L38" s="2" t="n">
        <v>1</v>
      </c>
      <c r="M38" s="2" t="n">
        <v>0</v>
      </c>
      <c r="N38" s="2" t="n">
        <v>1</v>
      </c>
      <c r="O38" s="2" t="n">
        <v>0</v>
      </c>
      <c r="P38" s="2" t="n">
        <v>0</v>
      </c>
      <c r="Q38" s="2" t="n">
        <v>1</v>
      </c>
      <c r="R38" s="2" t="n">
        <v>1</v>
      </c>
      <c r="S38" s="1"/>
      <c r="T38" s="6" t="n">
        <f aca="false">PRODUCT(IF(M38=1,0.6,1-0.6), IF(L38=1,0.6,1-0.6),
        IF(N38=1,0.6,1-0.6),
        IF(O38=1,0.6,1-0.6),
        IF(P38=1,0.6,1-0.6),
        IF(Q38=1,0.6,1-0.6),
        IF(R38=1,0.6,1-0.6))</f>
        <v>0.0082944</v>
      </c>
      <c r="U38" s="6" t="n">
        <f aca="false">PRODUCT(IF(M38=1,0.7,1-0.7), IF(L38=1,0.7,1-0.7),
          IF(N38=1,0.7,1-0.7),
          IF(O38=1,0.7,1-0.7),
          IF(P38=1,0.7,1-0.7),
          IF(Q38=1,0.7,1-0.7),
          IF(R38=1,0.7,1-0.7))</f>
        <v>0.0064827</v>
      </c>
      <c r="V38" s="6" t="n">
        <f aca="false">PRODUCT(IF(M38=1,0.8,1-0.8),IF(L38=1,0.8,1-0.8),
          IF(N38=1,0.8,1-0.8),
          IF(O38=1,0.8,1-0.8),
          IF(P38=1,0.8,1-0.8),
          IF(Q38=1,0.8,1-0.8),
          IF(R38=1,0.8,1-0.8))</f>
        <v>0.0032768</v>
      </c>
      <c r="W38" s="6" t="n">
        <f aca="false">PRODUCT(IF(M38=1,0.9,1-0.9), IF(L38=1,0.9,1-0.9),
          IF(N38=1,0.9,1-0.9),
          IF(O38=1,0.9,1-0.9),
          IF(P38=1,0.9,1-0.9),
          IF(Q38=1,0.9,1-0.9),
          IF(R38=1,0.9,1-0.9))</f>
        <v>0.0006561</v>
      </c>
      <c r="X38" s="2"/>
    </row>
    <row r="39" customFormat="false" ht="14.25" hidden="false" customHeight="false" outlineLevel="0" collapsed="false">
      <c r="L39" s="2" t="n">
        <v>1</v>
      </c>
      <c r="M39" s="2" t="n">
        <v>0</v>
      </c>
      <c r="N39" s="2" t="n">
        <v>1</v>
      </c>
      <c r="O39" s="2" t="n">
        <v>0</v>
      </c>
      <c r="P39" s="2" t="n">
        <v>1</v>
      </c>
      <c r="Q39" s="2" t="n">
        <v>0</v>
      </c>
      <c r="R39" s="2" t="n">
        <v>0</v>
      </c>
      <c r="S39" s="1"/>
      <c r="T39" s="6" t="n">
        <f aca="false">PRODUCT(IF(M39=1,0.6,1-0.6), IF(L39=1,0.6,1-0.6),
        IF(N39=1,0.6,1-0.6),
        IF(O39=1,0.6,1-0.6),
        IF(P39=1,0.6,1-0.6),
        IF(Q39=1,0.6,1-0.6),
        IF(R39=1,0.6,1-0.6))</f>
        <v>0.0055296</v>
      </c>
      <c r="U39" s="6" t="n">
        <f aca="false">PRODUCT(IF(M39=1,0.7,1-0.7), IF(L39=1,0.7,1-0.7),
          IF(N39=1,0.7,1-0.7),
          IF(O39=1,0.7,1-0.7),
          IF(P39=1,0.7,1-0.7),
          IF(Q39=1,0.7,1-0.7),
          IF(R39=1,0.7,1-0.7))</f>
        <v>0.0027783</v>
      </c>
      <c r="V39" s="6" t="n">
        <f aca="false">PRODUCT(IF(M39=1,0.8,1-0.8),IF(L39=1,0.8,1-0.8),
          IF(N39=1,0.8,1-0.8),
          IF(O39=1,0.8,1-0.8),
          IF(P39=1,0.8,1-0.8),
          IF(Q39=1,0.8,1-0.8),
          IF(R39=1,0.8,1-0.8))</f>
        <v>0.000819199999999999</v>
      </c>
      <c r="W39" s="6" t="n">
        <f aca="false">PRODUCT(IF(M39=1,0.9,1-0.9), IF(L39=1,0.9,1-0.9),
          IF(N39=1,0.9,1-0.9),
          IF(O39=1,0.9,1-0.9),
          IF(P39=1,0.9,1-0.9),
          IF(Q39=1,0.9,1-0.9),
          IF(R39=1,0.9,1-0.9))</f>
        <v>7.28999999999999E-005</v>
      </c>
      <c r="X39" s="2"/>
    </row>
    <row r="40" customFormat="false" ht="14.25" hidden="false" customHeight="false" outlineLevel="0" collapsed="false">
      <c r="L40" s="2" t="n">
        <v>1</v>
      </c>
      <c r="M40" s="2" t="n">
        <v>0</v>
      </c>
      <c r="N40" s="2" t="n">
        <v>1</v>
      </c>
      <c r="O40" s="2" t="n">
        <v>0</v>
      </c>
      <c r="P40" s="2" t="n">
        <v>1</v>
      </c>
      <c r="Q40" s="2" t="n">
        <v>0</v>
      </c>
      <c r="R40" s="2" t="n">
        <v>1</v>
      </c>
      <c r="S40" s="1"/>
      <c r="T40" s="6" t="n">
        <f aca="false">PRODUCT(IF(M40=1,0.6,1-0.6), IF(L40=1,0.6,1-0.6),
        IF(N40=1,0.6,1-0.6),
        IF(O40=1,0.6,1-0.6),
        IF(P40=1,0.6,1-0.6),
        IF(Q40=1,0.6,1-0.6),
        IF(R40=1,0.6,1-0.6))</f>
        <v>0.0082944</v>
      </c>
      <c r="U40" s="6" t="n">
        <f aca="false">PRODUCT(IF(M40=1,0.7,1-0.7), IF(L40=1,0.7,1-0.7),
          IF(N40=1,0.7,1-0.7),
          IF(O40=1,0.7,1-0.7),
          IF(P40=1,0.7,1-0.7),
          IF(Q40=1,0.7,1-0.7),
          IF(R40=1,0.7,1-0.7))</f>
        <v>0.0064827</v>
      </c>
      <c r="V40" s="6" t="n">
        <f aca="false">PRODUCT(IF(M40=1,0.8,1-0.8),IF(L40=1,0.8,1-0.8),
          IF(N40=1,0.8,1-0.8),
          IF(O40=1,0.8,1-0.8),
          IF(P40=1,0.8,1-0.8),
          IF(Q40=1,0.8,1-0.8),
          IF(R40=1,0.8,1-0.8))</f>
        <v>0.0032768</v>
      </c>
      <c r="W40" s="6" t="n">
        <f aca="false">PRODUCT(IF(M40=1,0.9,1-0.9), IF(L40=1,0.9,1-0.9),
          IF(N40=1,0.9,1-0.9),
          IF(O40=1,0.9,1-0.9),
          IF(P40=1,0.9,1-0.9),
          IF(Q40=1,0.9,1-0.9),
          IF(R40=1,0.9,1-0.9))</f>
        <v>0.0006561</v>
      </c>
      <c r="X40" s="2"/>
    </row>
    <row r="41" customFormat="false" ht="14.25" hidden="false" customHeight="false" outlineLevel="0" collapsed="false">
      <c r="L41" s="2" t="n">
        <v>1</v>
      </c>
      <c r="M41" s="2" t="n">
        <v>0</v>
      </c>
      <c r="N41" s="2" t="n">
        <v>1</v>
      </c>
      <c r="O41" s="2" t="n">
        <v>0</v>
      </c>
      <c r="P41" s="2" t="n">
        <v>1</v>
      </c>
      <c r="Q41" s="2" t="n">
        <v>1</v>
      </c>
      <c r="R41" s="2" t="n">
        <v>0</v>
      </c>
      <c r="S41" s="1"/>
      <c r="T41" s="6" t="n">
        <f aca="false">PRODUCT(IF(M41=1,0.6,1-0.6), IF(L41=1,0.6,1-0.6),
        IF(N41=1,0.6,1-0.6),
        IF(O41=1,0.6,1-0.6),
        IF(P41=1,0.6,1-0.6),
        IF(Q41=1,0.6,1-0.6),
        IF(R41=1,0.6,1-0.6))</f>
        <v>0.0082944</v>
      </c>
      <c r="U41" s="6" t="n">
        <f aca="false">PRODUCT(IF(M41=1,0.7,1-0.7), IF(L41=1,0.7,1-0.7),
          IF(N41=1,0.7,1-0.7),
          IF(O41=1,0.7,1-0.7),
          IF(P41=1,0.7,1-0.7),
          IF(Q41=1,0.7,1-0.7),
          IF(R41=1,0.7,1-0.7))</f>
        <v>0.0064827</v>
      </c>
      <c r="V41" s="6" t="n">
        <f aca="false">PRODUCT(IF(M41=1,0.8,1-0.8),IF(L41=1,0.8,1-0.8),
          IF(N41=1,0.8,1-0.8),
          IF(O41=1,0.8,1-0.8),
          IF(P41=1,0.8,1-0.8),
          IF(Q41=1,0.8,1-0.8),
          IF(R41=1,0.8,1-0.8))</f>
        <v>0.0032768</v>
      </c>
      <c r="W41" s="6" t="n">
        <f aca="false">PRODUCT(IF(M41=1,0.9,1-0.9), IF(L41=1,0.9,1-0.9),
          IF(N41=1,0.9,1-0.9),
          IF(O41=1,0.9,1-0.9),
          IF(P41=1,0.9,1-0.9),
          IF(Q41=1,0.9,1-0.9),
          IF(R41=1,0.9,1-0.9))</f>
        <v>0.0006561</v>
      </c>
      <c r="X41" s="2"/>
    </row>
    <row r="42" customFormat="false" ht="14.25" hidden="false" customHeight="false" outlineLevel="0" collapsed="false">
      <c r="L42" s="2" t="n">
        <v>1</v>
      </c>
      <c r="M42" s="2" t="n">
        <v>0</v>
      </c>
      <c r="N42" s="2" t="n">
        <v>1</v>
      </c>
      <c r="O42" s="2" t="n">
        <v>0</v>
      </c>
      <c r="P42" s="2" t="n">
        <v>1</v>
      </c>
      <c r="Q42" s="2" t="n">
        <v>1</v>
      </c>
      <c r="R42" s="2" t="n">
        <v>1</v>
      </c>
      <c r="S42" s="1"/>
      <c r="T42" s="6" t="n">
        <f aca="false">PRODUCT(IF(M42=1,0.6,1-0.6), IF(L42=1,0.6,1-0.6),
        IF(N42=1,0.6,1-0.6),
        IF(O42=1,0.6,1-0.6),
        IF(P42=1,0.6,1-0.6),
        IF(Q42=1,0.6,1-0.6),
        IF(R42=1,0.6,1-0.6))</f>
        <v>0.0124416</v>
      </c>
      <c r="U42" s="6" t="n">
        <f aca="false">PRODUCT(IF(M42=1,0.7,1-0.7), IF(L42=1,0.7,1-0.7),
          IF(N42=1,0.7,1-0.7),
          IF(O42=1,0.7,1-0.7),
          IF(P42=1,0.7,1-0.7),
          IF(Q42=1,0.7,1-0.7),
          IF(R42=1,0.7,1-0.7))</f>
        <v>0.0151263</v>
      </c>
      <c r="V42" s="6" t="n">
        <f aca="false">PRODUCT(IF(M42=1,0.8,1-0.8),IF(L42=1,0.8,1-0.8),
          IF(N42=1,0.8,1-0.8),
          IF(O42=1,0.8,1-0.8),
          IF(P42=1,0.8,1-0.8),
          IF(Q42=1,0.8,1-0.8),
          IF(R42=1,0.8,1-0.8))</f>
        <v>0.0131072</v>
      </c>
      <c r="W42" s="6" t="n">
        <f aca="false">PRODUCT(IF(M42=1,0.9,1-0.9), IF(L42=1,0.9,1-0.9),
          IF(N42=1,0.9,1-0.9),
          IF(O42=1,0.9,1-0.9),
          IF(P42=1,0.9,1-0.9),
          IF(Q42=1,0.9,1-0.9),
          IF(R42=1,0.9,1-0.9))</f>
        <v>0.0059049</v>
      </c>
      <c r="X42" s="2"/>
    </row>
    <row r="43" customFormat="false" ht="14.25" hidden="false" customHeight="false" outlineLevel="0" collapsed="false">
      <c r="L43" s="2" t="n">
        <v>1</v>
      </c>
      <c r="M43" s="2" t="n">
        <v>0</v>
      </c>
      <c r="N43" s="2" t="n">
        <v>1</v>
      </c>
      <c r="O43" s="2" t="n">
        <v>1</v>
      </c>
      <c r="P43" s="2" t="n">
        <v>0</v>
      </c>
      <c r="Q43" s="2" t="n">
        <v>0</v>
      </c>
      <c r="R43" s="2" t="n">
        <v>0</v>
      </c>
      <c r="S43" s="1"/>
      <c r="T43" s="6" t="n">
        <f aca="false">PRODUCT(IF(M43=1,0.6,1-0.6), IF(L43=1,0.6,1-0.6),
        IF(N43=1,0.6,1-0.6),
        IF(O43=1,0.6,1-0.6),
        IF(P43=1,0.6,1-0.6),
        IF(Q43=1,0.6,1-0.6),
        IF(R43=1,0.6,1-0.6))</f>
        <v>0.0055296</v>
      </c>
      <c r="U43" s="6" t="n">
        <f aca="false">PRODUCT(IF(M43=1,0.7,1-0.7), IF(L43=1,0.7,1-0.7),
          IF(N43=1,0.7,1-0.7),
          IF(O43=1,0.7,1-0.7),
          IF(P43=1,0.7,1-0.7),
          IF(Q43=1,0.7,1-0.7),
          IF(R43=1,0.7,1-0.7))</f>
        <v>0.0027783</v>
      </c>
      <c r="V43" s="6" t="n">
        <f aca="false">PRODUCT(IF(M43=1,0.8,1-0.8),IF(L43=1,0.8,1-0.8),
          IF(N43=1,0.8,1-0.8),
          IF(O43=1,0.8,1-0.8),
          IF(P43=1,0.8,1-0.8),
          IF(Q43=1,0.8,1-0.8),
          IF(R43=1,0.8,1-0.8))</f>
        <v>0.000819199999999999</v>
      </c>
      <c r="W43" s="6" t="n">
        <f aca="false">PRODUCT(IF(M43=1,0.9,1-0.9), IF(L43=1,0.9,1-0.9),
          IF(N43=1,0.9,1-0.9),
          IF(O43=1,0.9,1-0.9),
          IF(P43=1,0.9,1-0.9),
          IF(Q43=1,0.9,1-0.9),
          IF(R43=1,0.9,1-0.9))</f>
        <v>7.28999999999999E-005</v>
      </c>
      <c r="X43" s="2"/>
    </row>
    <row r="44" customFormat="false" ht="14.25" hidden="false" customHeight="false" outlineLevel="0" collapsed="false">
      <c r="L44" s="2" t="n">
        <v>1</v>
      </c>
      <c r="M44" s="2" t="n">
        <v>0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1</v>
      </c>
      <c r="S44" s="1"/>
      <c r="T44" s="6" t="n">
        <f aca="false">PRODUCT(IF(M44=1,0.6,1-0.6), IF(L44=1,0.6,1-0.6),
        IF(N44=1,0.6,1-0.6),
        IF(O44=1,0.6,1-0.6),
        IF(P44=1,0.6,1-0.6),
        IF(Q44=1,0.6,1-0.6),
        IF(R44=1,0.6,1-0.6))</f>
        <v>0.0082944</v>
      </c>
      <c r="U44" s="6" t="n">
        <f aca="false">PRODUCT(IF(M44=1,0.7,1-0.7), IF(L44=1,0.7,1-0.7),
          IF(N44=1,0.7,1-0.7),
          IF(O44=1,0.7,1-0.7),
          IF(P44=1,0.7,1-0.7),
          IF(Q44=1,0.7,1-0.7),
          IF(R44=1,0.7,1-0.7))</f>
        <v>0.0064827</v>
      </c>
      <c r="V44" s="6" t="n">
        <f aca="false">PRODUCT(IF(M44=1,0.8,1-0.8),IF(L44=1,0.8,1-0.8),
          IF(N44=1,0.8,1-0.8),
          IF(O44=1,0.8,1-0.8),
          IF(P44=1,0.8,1-0.8),
          IF(Q44=1,0.8,1-0.8),
          IF(R44=1,0.8,1-0.8))</f>
        <v>0.0032768</v>
      </c>
      <c r="W44" s="6" t="n">
        <f aca="false">PRODUCT(IF(M44=1,0.9,1-0.9), IF(L44=1,0.9,1-0.9),
          IF(N44=1,0.9,1-0.9),
          IF(O44=1,0.9,1-0.9),
          IF(P44=1,0.9,1-0.9),
          IF(Q44=1,0.9,1-0.9),
          IF(R44=1,0.9,1-0.9))</f>
        <v>0.0006561</v>
      </c>
      <c r="X44" s="2"/>
    </row>
    <row r="45" customFormat="false" ht="14.25" hidden="false" customHeight="false" outlineLevel="0" collapsed="false">
      <c r="L45" s="2" t="n">
        <v>1</v>
      </c>
      <c r="M45" s="2" t="n">
        <v>0</v>
      </c>
      <c r="N45" s="2" t="n">
        <v>1</v>
      </c>
      <c r="O45" s="2" t="n">
        <v>1</v>
      </c>
      <c r="P45" s="2" t="n">
        <v>0</v>
      </c>
      <c r="Q45" s="2" t="n">
        <v>1</v>
      </c>
      <c r="R45" s="2" t="n">
        <v>0</v>
      </c>
      <c r="S45" s="1"/>
      <c r="T45" s="6" t="n">
        <f aca="false">PRODUCT(IF(M45=1,0.6,1-0.6), IF(L45=1,0.6,1-0.6),
        IF(N45=1,0.6,1-0.6),
        IF(O45=1,0.6,1-0.6),
        IF(P45=1,0.6,1-0.6),
        IF(Q45=1,0.6,1-0.6),
        IF(R45=1,0.6,1-0.6))</f>
        <v>0.0082944</v>
      </c>
      <c r="U45" s="6" t="n">
        <f aca="false">PRODUCT(IF(M45=1,0.7,1-0.7), IF(L45=1,0.7,1-0.7),
          IF(N45=1,0.7,1-0.7),
          IF(O45=1,0.7,1-0.7),
          IF(P45=1,0.7,1-0.7),
          IF(Q45=1,0.7,1-0.7),
          IF(R45=1,0.7,1-0.7))</f>
        <v>0.0064827</v>
      </c>
      <c r="V45" s="6" t="n">
        <f aca="false">PRODUCT(IF(M45=1,0.8,1-0.8),IF(L45=1,0.8,1-0.8),
          IF(N45=1,0.8,1-0.8),
          IF(O45=1,0.8,1-0.8),
          IF(P45=1,0.8,1-0.8),
          IF(Q45=1,0.8,1-0.8),
          IF(R45=1,0.8,1-0.8))</f>
        <v>0.0032768</v>
      </c>
      <c r="W45" s="6" t="n">
        <f aca="false">PRODUCT(IF(M45=1,0.9,1-0.9), IF(L45=1,0.9,1-0.9),
          IF(N45=1,0.9,1-0.9),
          IF(O45=1,0.9,1-0.9),
          IF(P45=1,0.9,1-0.9),
          IF(Q45=1,0.9,1-0.9),
          IF(R45=1,0.9,1-0.9))</f>
        <v>0.0006561</v>
      </c>
      <c r="X45" s="2"/>
    </row>
    <row r="46" customFormat="false" ht="14.25" hidden="false" customHeight="false" outlineLevel="0" collapsed="false">
      <c r="L46" s="2" t="n">
        <v>1</v>
      </c>
      <c r="M46" s="2" t="n">
        <v>0</v>
      </c>
      <c r="N46" s="2" t="n">
        <v>1</v>
      </c>
      <c r="O46" s="2" t="n">
        <v>1</v>
      </c>
      <c r="P46" s="2" t="n">
        <v>0</v>
      </c>
      <c r="Q46" s="2" t="n">
        <v>1</v>
      </c>
      <c r="R46" s="2" t="n">
        <v>1</v>
      </c>
      <c r="S46" s="1"/>
      <c r="T46" s="6" t="n">
        <f aca="false">PRODUCT(IF(M46=1,0.6,1-0.6), IF(L46=1,0.6,1-0.6),
        IF(N46=1,0.6,1-0.6),
        IF(O46=1,0.6,1-0.6),
        IF(P46=1,0.6,1-0.6),
        IF(Q46=1,0.6,1-0.6),
        IF(R46=1,0.6,1-0.6))</f>
        <v>0.0124416</v>
      </c>
      <c r="U46" s="6" t="n">
        <f aca="false">PRODUCT(IF(M46=1,0.7,1-0.7), IF(L46=1,0.7,1-0.7),
          IF(N46=1,0.7,1-0.7),
          IF(O46=1,0.7,1-0.7),
          IF(P46=1,0.7,1-0.7),
          IF(Q46=1,0.7,1-0.7),
          IF(R46=1,0.7,1-0.7))</f>
        <v>0.0151263</v>
      </c>
      <c r="V46" s="6" t="n">
        <f aca="false">PRODUCT(IF(M46=1,0.8,1-0.8),IF(L46=1,0.8,1-0.8),
          IF(N46=1,0.8,1-0.8),
          IF(O46=1,0.8,1-0.8),
          IF(P46=1,0.8,1-0.8),
          IF(Q46=1,0.8,1-0.8),
          IF(R46=1,0.8,1-0.8))</f>
        <v>0.0131072</v>
      </c>
      <c r="W46" s="6" t="n">
        <f aca="false">PRODUCT(IF(M46=1,0.9,1-0.9), IF(L46=1,0.9,1-0.9),
          IF(N46=1,0.9,1-0.9),
          IF(O46=1,0.9,1-0.9),
          IF(P46=1,0.9,1-0.9),
          IF(Q46=1,0.9,1-0.9),
          IF(R46=1,0.9,1-0.9))</f>
        <v>0.0059049</v>
      </c>
      <c r="X46" s="2"/>
    </row>
    <row r="47" customFormat="false" ht="14.25" hidden="false" customHeight="false" outlineLevel="0" collapsed="false">
      <c r="L47" s="2" t="n">
        <v>1</v>
      </c>
      <c r="M47" s="2" t="n">
        <v>0</v>
      </c>
      <c r="N47" s="2" t="n">
        <v>1</v>
      </c>
      <c r="O47" s="2" t="n">
        <v>1</v>
      </c>
      <c r="P47" s="2" t="n">
        <v>1</v>
      </c>
      <c r="Q47" s="2" t="n">
        <v>0</v>
      </c>
      <c r="R47" s="2" t="n">
        <v>0</v>
      </c>
      <c r="S47" s="1"/>
      <c r="T47" s="6" t="n">
        <f aca="false">PRODUCT(IF(M47=1,0.6,1-0.6), IF(L47=1,0.6,1-0.6),
        IF(N47=1,0.6,1-0.6),
        IF(O47=1,0.6,1-0.6),
        IF(P47=1,0.6,1-0.6),
        IF(Q47=1,0.6,1-0.6),
        IF(R47=1,0.6,1-0.6))</f>
        <v>0.0082944</v>
      </c>
      <c r="U47" s="6" t="n">
        <f aca="false">PRODUCT(IF(M47=1,0.7,1-0.7), IF(L47=1,0.7,1-0.7),
          IF(N47=1,0.7,1-0.7),
          IF(O47=1,0.7,1-0.7),
          IF(P47=1,0.7,1-0.7),
          IF(Q47=1,0.7,1-0.7),
          IF(R47=1,0.7,1-0.7))</f>
        <v>0.0064827</v>
      </c>
      <c r="V47" s="6" t="n">
        <f aca="false">PRODUCT(IF(M47=1,0.8,1-0.8),IF(L47=1,0.8,1-0.8),
          IF(N47=1,0.8,1-0.8),
          IF(O47=1,0.8,1-0.8),
          IF(P47=1,0.8,1-0.8),
          IF(Q47=1,0.8,1-0.8),
          IF(R47=1,0.8,1-0.8))</f>
        <v>0.0032768</v>
      </c>
      <c r="W47" s="6" t="n">
        <f aca="false">PRODUCT(IF(M47=1,0.9,1-0.9), IF(L47=1,0.9,1-0.9),
          IF(N47=1,0.9,1-0.9),
          IF(O47=1,0.9,1-0.9),
          IF(P47=1,0.9,1-0.9),
          IF(Q47=1,0.9,1-0.9),
          IF(R47=1,0.9,1-0.9))</f>
        <v>0.0006561</v>
      </c>
      <c r="X47" s="2"/>
    </row>
    <row r="48" customFormat="false" ht="14.25" hidden="false" customHeight="false" outlineLevel="0" collapsed="false">
      <c r="L48" s="2" t="n">
        <v>1</v>
      </c>
      <c r="M48" s="2" t="n">
        <v>0</v>
      </c>
      <c r="N48" s="2" t="n">
        <v>1</v>
      </c>
      <c r="O48" s="2" t="n">
        <v>1</v>
      </c>
      <c r="P48" s="2" t="n">
        <v>1</v>
      </c>
      <c r="Q48" s="2" t="n">
        <v>0</v>
      </c>
      <c r="R48" s="2" t="n">
        <v>1</v>
      </c>
      <c r="S48" s="1"/>
      <c r="T48" s="6" t="n">
        <f aca="false">PRODUCT(IF(M48=1,0.6,1-0.6), IF(L48=1,0.6,1-0.6),
        IF(N48=1,0.6,1-0.6),
        IF(O48=1,0.6,1-0.6),
        IF(P48=1,0.6,1-0.6),
        IF(Q48=1,0.6,1-0.6),
        IF(R48=1,0.6,1-0.6))</f>
        <v>0.0124416</v>
      </c>
      <c r="U48" s="6" t="n">
        <f aca="false">PRODUCT(IF(M48=1,0.7,1-0.7), IF(L48=1,0.7,1-0.7),
          IF(N48=1,0.7,1-0.7),
          IF(O48=1,0.7,1-0.7),
          IF(P48=1,0.7,1-0.7),
          IF(Q48=1,0.7,1-0.7),
          IF(R48=1,0.7,1-0.7))</f>
        <v>0.0151263</v>
      </c>
      <c r="V48" s="6" t="n">
        <f aca="false">PRODUCT(IF(M48=1,0.8,1-0.8),IF(L48=1,0.8,1-0.8),
          IF(N48=1,0.8,1-0.8),
          IF(O48=1,0.8,1-0.8),
          IF(P48=1,0.8,1-0.8),
          IF(Q48=1,0.8,1-0.8),
          IF(R48=1,0.8,1-0.8))</f>
        <v>0.0131072</v>
      </c>
      <c r="W48" s="6" t="n">
        <f aca="false">PRODUCT(IF(M48=1,0.9,1-0.9), IF(L48=1,0.9,1-0.9),
          IF(N48=1,0.9,1-0.9),
          IF(O48=1,0.9,1-0.9),
          IF(P48=1,0.9,1-0.9),
          IF(Q48=1,0.9,1-0.9),
          IF(R48=1,0.9,1-0.9))</f>
        <v>0.0059049</v>
      </c>
      <c r="X48" s="2"/>
    </row>
    <row r="49" customFormat="false" ht="14.25" hidden="false" customHeight="false" outlineLevel="0" collapsed="false">
      <c r="L49" s="2" t="n">
        <v>1</v>
      </c>
      <c r="M49" s="2" t="n">
        <v>0</v>
      </c>
      <c r="N49" s="2" t="n">
        <v>1</v>
      </c>
      <c r="O49" s="2" t="n">
        <v>1</v>
      </c>
      <c r="P49" s="2" t="n">
        <v>1</v>
      </c>
      <c r="Q49" s="2" t="n">
        <v>1</v>
      </c>
      <c r="R49" s="2" t="n">
        <v>0</v>
      </c>
      <c r="S49" s="1"/>
      <c r="T49" s="6" t="n">
        <f aca="false">PRODUCT(IF(M49=1,0.6,1-0.6), IF(L49=1,0.6,1-0.6),
        IF(N49=1,0.6,1-0.6),
        IF(O49=1,0.6,1-0.6),
        IF(P49=1,0.6,1-0.6),
        IF(Q49=1,0.6,1-0.6),
        IF(R49=1,0.6,1-0.6))</f>
        <v>0.0124416</v>
      </c>
      <c r="U49" s="6" t="n">
        <f aca="false">PRODUCT(IF(M49=1,0.7,1-0.7), IF(L49=1,0.7,1-0.7),
          IF(N49=1,0.7,1-0.7),
          IF(O49=1,0.7,1-0.7),
          IF(P49=1,0.7,1-0.7),
          IF(Q49=1,0.7,1-0.7),
          IF(R49=1,0.7,1-0.7))</f>
        <v>0.0151263</v>
      </c>
      <c r="V49" s="6" t="n">
        <f aca="false">PRODUCT(IF(M49=1,0.8,1-0.8),IF(L49=1,0.8,1-0.8),
          IF(N49=1,0.8,1-0.8),
          IF(O49=1,0.8,1-0.8),
          IF(P49=1,0.8,1-0.8),
          IF(Q49=1,0.8,1-0.8),
          IF(R49=1,0.8,1-0.8))</f>
        <v>0.0131072</v>
      </c>
      <c r="W49" s="6" t="n">
        <f aca="false">PRODUCT(IF(M49=1,0.9,1-0.9), IF(L49=1,0.9,1-0.9),
          IF(N49=1,0.9,1-0.9),
          IF(O49=1,0.9,1-0.9),
          IF(P49=1,0.9,1-0.9),
          IF(Q49=1,0.9,1-0.9),
          IF(R49=1,0.9,1-0.9))</f>
        <v>0.0059049</v>
      </c>
      <c r="X49" s="2"/>
    </row>
    <row r="50" customFormat="false" ht="14.25" hidden="false" customHeight="false" outlineLevel="0" collapsed="false">
      <c r="L50" s="2" t="n">
        <v>1</v>
      </c>
      <c r="M50" s="2" t="n">
        <v>0</v>
      </c>
      <c r="N50" s="2" t="n">
        <v>1</v>
      </c>
      <c r="O50" s="2" t="n">
        <v>1</v>
      </c>
      <c r="P50" s="2" t="n">
        <v>1</v>
      </c>
      <c r="Q50" s="2" t="n">
        <v>1</v>
      </c>
      <c r="R50" s="2" t="n">
        <v>1</v>
      </c>
      <c r="S50" s="1"/>
      <c r="T50" s="6" t="n">
        <f aca="false">PRODUCT(IF(M50=1,0.6,1-0.6), IF(L50=1,0.6,1-0.6),
        IF(N50=1,0.6,1-0.6),
        IF(O50=1,0.6,1-0.6),
        IF(P50=1,0.6,1-0.6),
        IF(Q50=1,0.6,1-0.6),
        IF(R50=1,0.6,1-0.6))</f>
        <v>0.0186624</v>
      </c>
      <c r="U50" s="6" t="n">
        <f aca="false">PRODUCT(IF(M50=1,0.7,1-0.7), IF(L50=1,0.7,1-0.7),
          IF(N50=1,0.7,1-0.7),
          IF(O50=1,0.7,1-0.7),
          IF(P50=1,0.7,1-0.7),
          IF(Q50=1,0.7,1-0.7),
          IF(R50=1,0.7,1-0.7))</f>
        <v>0.0352947</v>
      </c>
      <c r="V50" s="6" t="n">
        <f aca="false">PRODUCT(IF(M50=1,0.8,1-0.8),IF(L50=1,0.8,1-0.8),
          IF(N50=1,0.8,1-0.8),
          IF(O50=1,0.8,1-0.8),
          IF(P50=1,0.8,1-0.8),
          IF(Q50=1,0.8,1-0.8),
          IF(R50=1,0.8,1-0.8))</f>
        <v>0.0524288</v>
      </c>
      <c r="W50" s="6" t="n">
        <f aca="false">PRODUCT(IF(M50=1,0.9,1-0.9), IF(L50=1,0.9,1-0.9),
          IF(N50=1,0.9,1-0.9),
          IF(O50=1,0.9,1-0.9),
          IF(P50=1,0.9,1-0.9),
          IF(Q50=1,0.9,1-0.9),
          IF(R50=1,0.9,1-0.9))</f>
        <v>0.0531441</v>
      </c>
      <c r="X50" s="2"/>
    </row>
    <row r="51" customFormat="false" ht="14.25" hidden="false" customHeight="false" outlineLevel="0" collapsed="false">
      <c r="L51" s="2" t="n">
        <v>1</v>
      </c>
      <c r="M51" s="2" t="n">
        <v>1</v>
      </c>
      <c r="N51" s="2" t="n">
        <v>0</v>
      </c>
      <c r="O51" s="2" t="n">
        <v>1</v>
      </c>
      <c r="P51" s="2" t="n">
        <v>0</v>
      </c>
      <c r="Q51" s="2" t="n">
        <v>0</v>
      </c>
      <c r="R51" s="2" t="n">
        <v>1</v>
      </c>
      <c r="S51" s="1"/>
      <c r="T51" s="6" t="n">
        <f aca="false">PRODUCT(IF(M51=1,0.6,1-0.6), IF(L51=1,0.6,1-0.6),
        IF(N51=1,0.6,1-0.6),
        IF(O51=1,0.6,1-0.6),
        IF(P51=1,0.6,1-0.6),
        IF(Q51=1,0.6,1-0.6),
        IF(R51=1,0.6,1-0.6))</f>
        <v>0.0082944</v>
      </c>
      <c r="U51" s="6" t="n">
        <f aca="false">PRODUCT(IF(M51=1,0.7,1-0.7), IF(L51=1,0.7,1-0.7),
          IF(N51=1,0.7,1-0.7),
          IF(O51=1,0.7,1-0.7),
          IF(P51=1,0.7,1-0.7),
          IF(Q51=1,0.7,1-0.7),
          IF(R51=1,0.7,1-0.7))</f>
        <v>0.0064827</v>
      </c>
      <c r="V51" s="6" t="n">
        <f aca="false">PRODUCT(IF(M51=1,0.8,1-0.8),IF(L51=1,0.8,1-0.8),
          IF(N51=1,0.8,1-0.8),
          IF(O51=1,0.8,1-0.8),
          IF(P51=1,0.8,1-0.8),
          IF(Q51=1,0.8,1-0.8),
          IF(R51=1,0.8,1-0.8))</f>
        <v>0.0032768</v>
      </c>
      <c r="W51" s="6" t="n">
        <f aca="false">PRODUCT(IF(M51=1,0.9,1-0.9), IF(L51=1,0.9,1-0.9),
          IF(N51=1,0.9,1-0.9),
          IF(O51=1,0.9,1-0.9),
          IF(P51=1,0.9,1-0.9),
          IF(Q51=1,0.9,1-0.9),
          IF(R51=1,0.9,1-0.9))</f>
        <v>0.0006561</v>
      </c>
      <c r="X51" s="2"/>
    </row>
    <row r="52" customFormat="false" ht="14.25" hidden="false" customHeight="false" outlineLevel="0" collapsed="false">
      <c r="L52" s="2" t="n">
        <v>1</v>
      </c>
      <c r="M52" s="2" t="n">
        <v>1</v>
      </c>
      <c r="N52" s="2" t="n">
        <v>0</v>
      </c>
      <c r="O52" s="2" t="n">
        <v>1</v>
      </c>
      <c r="P52" s="2" t="n">
        <v>0</v>
      </c>
      <c r="Q52" s="2" t="n">
        <v>1</v>
      </c>
      <c r="R52" s="2" t="n">
        <v>1</v>
      </c>
      <c r="S52" s="1"/>
      <c r="T52" s="6" t="n">
        <f aca="false">PRODUCT(IF(M52=1,0.6,1-0.6), IF(L52=1,0.6,1-0.6),
        IF(N52=1,0.6,1-0.6),
        IF(O52=1,0.6,1-0.6),
        IF(P52=1,0.6,1-0.6),
        IF(Q52=1,0.6,1-0.6),
        IF(R52=1,0.6,1-0.6))</f>
        <v>0.0124416</v>
      </c>
      <c r="U52" s="6" t="n">
        <f aca="false">PRODUCT(IF(M52=1,0.7,1-0.7), IF(L52=1,0.7,1-0.7),
          IF(N52=1,0.7,1-0.7),
          IF(O52=1,0.7,1-0.7),
          IF(P52=1,0.7,1-0.7),
          IF(Q52=1,0.7,1-0.7),
          IF(R52=1,0.7,1-0.7))</f>
        <v>0.0151263</v>
      </c>
      <c r="V52" s="6" t="n">
        <f aca="false">PRODUCT(IF(M52=1,0.8,1-0.8),IF(L52=1,0.8,1-0.8),
          IF(N52=1,0.8,1-0.8),
          IF(O52=1,0.8,1-0.8),
          IF(P52=1,0.8,1-0.8),
          IF(Q52=1,0.8,1-0.8),
          IF(R52=1,0.8,1-0.8))</f>
        <v>0.0131072</v>
      </c>
      <c r="W52" s="6" t="n">
        <f aca="false">PRODUCT(IF(M52=1,0.9,1-0.9), IF(L52=1,0.9,1-0.9),
          IF(N52=1,0.9,1-0.9),
          IF(O52=1,0.9,1-0.9),
          IF(P52=1,0.9,1-0.9),
          IF(Q52=1,0.9,1-0.9),
          IF(R52=1,0.9,1-0.9))</f>
        <v>0.0059049</v>
      </c>
      <c r="X52" s="2"/>
    </row>
    <row r="53" customFormat="false" ht="14.25" hidden="false" customHeight="false" outlineLevel="0" collapsed="false">
      <c r="L53" s="2" t="n">
        <v>1</v>
      </c>
      <c r="M53" s="2" t="n">
        <v>1</v>
      </c>
      <c r="N53" s="2" t="n">
        <v>0</v>
      </c>
      <c r="O53" s="2" t="n">
        <v>1</v>
      </c>
      <c r="P53" s="2" t="n">
        <v>1</v>
      </c>
      <c r="Q53" s="2" t="n">
        <v>0</v>
      </c>
      <c r="R53" s="2" t="n">
        <v>1</v>
      </c>
      <c r="S53" s="1"/>
      <c r="T53" s="6" t="n">
        <f aca="false">PRODUCT(IF(M53=1,0.6,1-0.6), IF(L53=1,0.6,1-0.6),
        IF(N53=1,0.6,1-0.6),
        IF(O53=1,0.6,1-0.6),
        IF(P53=1,0.6,1-0.6),
        IF(Q53=1,0.6,1-0.6),
        IF(R53=1,0.6,1-0.6))</f>
        <v>0.0124416</v>
      </c>
      <c r="U53" s="6" t="n">
        <f aca="false">PRODUCT(IF(M53=1,0.7,1-0.7), IF(L53=1,0.7,1-0.7),
          IF(N53=1,0.7,1-0.7),
          IF(O53=1,0.7,1-0.7),
          IF(P53=1,0.7,1-0.7),
          IF(Q53=1,0.7,1-0.7),
          IF(R53=1,0.7,1-0.7))</f>
        <v>0.0151263</v>
      </c>
      <c r="V53" s="6" t="n">
        <f aca="false">PRODUCT(IF(M53=1,0.8,1-0.8),IF(L53=1,0.8,1-0.8),
          IF(N53=1,0.8,1-0.8),
          IF(O53=1,0.8,1-0.8),
          IF(P53=1,0.8,1-0.8),
          IF(Q53=1,0.8,1-0.8),
          IF(R53=1,0.8,1-0.8))</f>
        <v>0.0131072</v>
      </c>
      <c r="W53" s="6" t="n">
        <f aca="false">PRODUCT(IF(M53=1,0.9,1-0.9), IF(L53=1,0.9,1-0.9),
          IF(N53=1,0.9,1-0.9),
          IF(O53=1,0.9,1-0.9),
          IF(P53=1,0.9,1-0.9),
          IF(Q53=1,0.9,1-0.9),
          IF(R53=1,0.9,1-0.9))</f>
        <v>0.0059049</v>
      </c>
      <c r="X53" s="2"/>
    </row>
    <row r="54" customFormat="false" ht="14.25" hidden="false" customHeight="false" outlineLevel="0" collapsed="false">
      <c r="L54" s="2" t="n">
        <v>1</v>
      </c>
      <c r="M54" s="2" t="n">
        <v>1</v>
      </c>
      <c r="N54" s="2" t="n">
        <v>0</v>
      </c>
      <c r="O54" s="2" t="n">
        <v>1</v>
      </c>
      <c r="P54" s="2" t="n">
        <v>1</v>
      </c>
      <c r="Q54" s="2" t="n">
        <v>1</v>
      </c>
      <c r="R54" s="2" t="n">
        <v>0</v>
      </c>
      <c r="S54" s="1"/>
      <c r="T54" s="6" t="n">
        <f aca="false">PRODUCT(IF(M54=1,0.6,1-0.6), IF(L54=1,0.6,1-0.6),
        IF(N54=1,0.6,1-0.6),
        IF(O54=1,0.6,1-0.6),
        IF(P54=1,0.6,1-0.6),
        IF(Q54=1,0.6,1-0.6),
        IF(R54=1,0.6,1-0.6))</f>
        <v>0.0124416</v>
      </c>
      <c r="U54" s="6" t="n">
        <f aca="false">PRODUCT(IF(M54=1,0.7,1-0.7), IF(L54=1,0.7,1-0.7),
          IF(N54=1,0.7,1-0.7),
          IF(O54=1,0.7,1-0.7),
          IF(P54=1,0.7,1-0.7),
          IF(Q54=1,0.7,1-0.7),
          IF(R54=1,0.7,1-0.7))</f>
        <v>0.0151263</v>
      </c>
      <c r="V54" s="6" t="n">
        <f aca="false">PRODUCT(IF(M54=1,0.8,1-0.8),IF(L54=1,0.8,1-0.8),
          IF(N54=1,0.8,1-0.8),
          IF(O54=1,0.8,1-0.8),
          IF(P54=1,0.8,1-0.8),
          IF(Q54=1,0.8,1-0.8),
          IF(R54=1,0.8,1-0.8))</f>
        <v>0.0131072</v>
      </c>
      <c r="W54" s="6" t="n">
        <f aca="false">PRODUCT(IF(M54=1,0.9,1-0.9), IF(L54=1,0.9,1-0.9),
          IF(N54=1,0.9,1-0.9),
          IF(O54=1,0.9,1-0.9),
          IF(P54=1,0.9,1-0.9),
          IF(Q54=1,0.9,1-0.9),
          IF(R54=1,0.9,1-0.9))</f>
        <v>0.0059049</v>
      </c>
      <c r="X54" s="2"/>
    </row>
    <row r="55" customFormat="false" ht="14.25" hidden="false" customHeight="false" outlineLevel="0" collapsed="false">
      <c r="L55" s="2" t="n">
        <v>1</v>
      </c>
      <c r="M55" s="2" t="n">
        <v>1</v>
      </c>
      <c r="N55" s="2" t="n">
        <v>0</v>
      </c>
      <c r="O55" s="2" t="n">
        <v>1</v>
      </c>
      <c r="P55" s="2" t="n">
        <v>1</v>
      </c>
      <c r="Q55" s="2" t="n">
        <v>1</v>
      </c>
      <c r="R55" s="2" t="n">
        <v>1</v>
      </c>
      <c r="S55" s="1"/>
      <c r="T55" s="6" t="n">
        <f aca="false">PRODUCT(IF(M55=1,0.6,1-0.6), IF(L55=1,0.6,1-0.6),
        IF(N55=1,0.6,1-0.6),
        IF(O55=1,0.6,1-0.6),
        IF(P55=1,0.6,1-0.6),
        IF(Q55=1,0.6,1-0.6),
        IF(R55=1,0.6,1-0.6))</f>
        <v>0.0186624</v>
      </c>
      <c r="U55" s="6" t="n">
        <f aca="false">PRODUCT(IF(M55=1,0.7,1-0.7), IF(L55=1,0.7,1-0.7),
          IF(N55=1,0.7,1-0.7),
          IF(O55=1,0.7,1-0.7),
          IF(P55=1,0.7,1-0.7),
          IF(Q55=1,0.7,1-0.7),
          IF(R55=1,0.7,1-0.7))</f>
        <v>0.0352947</v>
      </c>
      <c r="V55" s="6" t="n">
        <f aca="false">PRODUCT(IF(M55=1,0.8,1-0.8),IF(L55=1,0.8,1-0.8),
          IF(N55=1,0.8,1-0.8),
          IF(O55=1,0.8,1-0.8),
          IF(P55=1,0.8,1-0.8),
          IF(Q55=1,0.8,1-0.8),
          IF(R55=1,0.8,1-0.8))</f>
        <v>0.0524288</v>
      </c>
      <c r="W55" s="6" t="n">
        <f aca="false">PRODUCT(IF(M55=1,0.9,1-0.9), IF(L55=1,0.9,1-0.9),
          IF(N55=1,0.9,1-0.9),
          IF(O55=1,0.9,1-0.9),
          IF(P55=1,0.9,1-0.9),
          IF(Q55=1,0.9,1-0.9),
          IF(R55=1,0.9,1-0.9))</f>
        <v>0.0531441</v>
      </c>
      <c r="X55" s="2"/>
    </row>
    <row r="56" customFormat="false" ht="14.25" hidden="false" customHeight="false" outlineLevel="0" collapsed="false">
      <c r="L56" s="2" t="n">
        <v>1</v>
      </c>
      <c r="M56" s="2" t="n">
        <v>1</v>
      </c>
      <c r="N56" s="2" t="n">
        <v>1</v>
      </c>
      <c r="O56" s="2" t="n">
        <v>0</v>
      </c>
      <c r="P56" s="2" t="n">
        <v>0</v>
      </c>
      <c r="Q56" s="2" t="n">
        <v>0</v>
      </c>
      <c r="R56" s="2" t="n">
        <v>0</v>
      </c>
      <c r="S56" s="1"/>
      <c r="T56" s="6" t="n">
        <f aca="false">PRODUCT(IF(M56=1,0.6,1-0.6), IF(L56=1,0.6,1-0.6),
        IF(N56=1,0.6,1-0.6),
        IF(O56=1,0.6,1-0.6),
        IF(P56=1,0.6,1-0.6),
        IF(Q56=1,0.6,1-0.6),
        IF(R56=1,0.6,1-0.6))</f>
        <v>0.0055296</v>
      </c>
      <c r="U56" s="6" t="n">
        <f aca="false">PRODUCT(IF(M56=1,0.7,1-0.7), IF(L56=1,0.7,1-0.7),
          IF(N56=1,0.7,1-0.7),
          IF(O56=1,0.7,1-0.7),
          IF(P56=1,0.7,1-0.7),
          IF(Q56=1,0.7,1-0.7),
          IF(R56=1,0.7,1-0.7))</f>
        <v>0.0027783</v>
      </c>
      <c r="V56" s="6" t="n">
        <f aca="false">PRODUCT(IF(M56=1,0.8,1-0.8),IF(L56=1,0.8,1-0.8),
          IF(N56=1,0.8,1-0.8),
          IF(O56=1,0.8,1-0.8),
          IF(P56=1,0.8,1-0.8),
          IF(Q56=1,0.8,1-0.8),
          IF(R56=1,0.8,1-0.8))</f>
        <v>0.0008192</v>
      </c>
      <c r="W56" s="6" t="n">
        <f aca="false">PRODUCT(IF(M56=1,0.9,1-0.9), IF(L56=1,0.9,1-0.9),
          IF(N56=1,0.9,1-0.9),
          IF(O56=1,0.9,1-0.9),
          IF(P56=1,0.9,1-0.9),
          IF(Q56=1,0.9,1-0.9),
          IF(R56=1,0.9,1-0.9))</f>
        <v>7.28999999999999E-005</v>
      </c>
      <c r="X56" s="2"/>
    </row>
    <row r="57" customFormat="false" ht="14.25" hidden="false" customHeight="false" outlineLevel="0" collapsed="false">
      <c r="L57" s="2" t="n">
        <v>1</v>
      </c>
      <c r="M57" s="2" t="n">
        <v>1</v>
      </c>
      <c r="N57" s="2" t="n">
        <v>1</v>
      </c>
      <c r="O57" s="2" t="n">
        <v>0</v>
      </c>
      <c r="P57" s="2" t="n">
        <v>0</v>
      </c>
      <c r="Q57" s="2" t="n">
        <v>0</v>
      </c>
      <c r="R57" s="2" t="n">
        <v>1</v>
      </c>
      <c r="S57" s="1"/>
      <c r="T57" s="6" t="n">
        <f aca="false">PRODUCT(IF(M57=1,0.6,1-0.6), IF(L57=1,0.6,1-0.6),
        IF(N57=1,0.6,1-0.6),
        IF(O57=1,0.6,1-0.6),
        IF(P57=1,0.6,1-0.6),
        IF(Q57=1,0.6,1-0.6),
        IF(R57=1,0.6,1-0.6))</f>
        <v>0.0082944</v>
      </c>
      <c r="U57" s="6" t="n">
        <f aca="false">PRODUCT(IF(M57=1,0.7,1-0.7), IF(L57=1,0.7,1-0.7),
          IF(N57=1,0.7,1-0.7),
          IF(O57=1,0.7,1-0.7),
          IF(P57=1,0.7,1-0.7),
          IF(Q57=1,0.7,1-0.7),
          IF(R57=1,0.7,1-0.7))</f>
        <v>0.0064827</v>
      </c>
      <c r="V57" s="6" t="n">
        <f aca="false">PRODUCT(IF(M57=1,0.8,1-0.8),IF(L57=1,0.8,1-0.8),
          IF(N57=1,0.8,1-0.8),
          IF(O57=1,0.8,1-0.8),
          IF(P57=1,0.8,1-0.8),
          IF(Q57=1,0.8,1-0.8),
          IF(R57=1,0.8,1-0.8))</f>
        <v>0.0032768</v>
      </c>
      <c r="W57" s="6" t="n">
        <f aca="false">PRODUCT(IF(M57=1,0.9,1-0.9), IF(L57=1,0.9,1-0.9),
          IF(N57=1,0.9,1-0.9),
          IF(O57=1,0.9,1-0.9),
          IF(P57=1,0.9,1-0.9),
          IF(Q57=1,0.9,1-0.9),
          IF(R57=1,0.9,1-0.9))</f>
        <v>0.0006561</v>
      </c>
      <c r="X57" s="2"/>
    </row>
    <row r="58" customFormat="false" ht="14.25" hidden="false" customHeight="false" outlineLevel="0" collapsed="false">
      <c r="L58" s="2" t="n">
        <v>1</v>
      </c>
      <c r="M58" s="2" t="n">
        <v>1</v>
      </c>
      <c r="N58" s="2" t="n">
        <v>1</v>
      </c>
      <c r="O58" s="2" t="n">
        <v>0</v>
      </c>
      <c r="P58" s="2" t="n">
        <v>0</v>
      </c>
      <c r="Q58" s="2" t="n">
        <v>1</v>
      </c>
      <c r="R58" s="2" t="n">
        <v>0</v>
      </c>
      <c r="S58" s="1"/>
      <c r="T58" s="6" t="n">
        <f aca="false">PRODUCT(IF(M58=1,0.6,1-0.6), IF(L58=1,0.6,1-0.6),
        IF(N58=1,0.6,1-0.6),
        IF(O58=1,0.6,1-0.6),
        IF(P58=1,0.6,1-0.6),
        IF(Q58=1,0.6,1-0.6),
        IF(R58=1,0.6,1-0.6))</f>
        <v>0.0082944</v>
      </c>
      <c r="U58" s="6" t="n">
        <f aca="false">PRODUCT(IF(M58=1,0.7,1-0.7), IF(L58=1,0.7,1-0.7),
          IF(N58=1,0.7,1-0.7),
          IF(O58=1,0.7,1-0.7),
          IF(P58=1,0.7,1-0.7),
          IF(Q58=1,0.7,1-0.7),
          IF(R58=1,0.7,1-0.7))</f>
        <v>0.0064827</v>
      </c>
      <c r="V58" s="6" t="n">
        <f aca="false">PRODUCT(IF(M58=1,0.8,1-0.8),IF(L58=1,0.8,1-0.8),
          IF(N58=1,0.8,1-0.8),
          IF(O58=1,0.8,1-0.8),
          IF(P58=1,0.8,1-0.8),
          IF(Q58=1,0.8,1-0.8),
          IF(R58=1,0.8,1-0.8))</f>
        <v>0.0032768</v>
      </c>
      <c r="W58" s="6" t="n">
        <f aca="false">PRODUCT(IF(M58=1,0.9,1-0.9), IF(L58=1,0.9,1-0.9),
          IF(N58=1,0.9,1-0.9),
          IF(O58=1,0.9,1-0.9),
          IF(P58=1,0.9,1-0.9),
          IF(Q58=1,0.9,1-0.9),
          IF(R58=1,0.9,1-0.9))</f>
        <v>0.0006561</v>
      </c>
      <c r="X58" s="2"/>
    </row>
    <row r="59" customFormat="false" ht="14.25" hidden="false" customHeight="false" outlineLevel="0" collapsed="false">
      <c r="L59" s="2" t="n">
        <v>1</v>
      </c>
      <c r="M59" s="2" t="n">
        <v>1</v>
      </c>
      <c r="N59" s="2" t="n">
        <v>1</v>
      </c>
      <c r="O59" s="2" t="n">
        <v>0</v>
      </c>
      <c r="P59" s="2" t="n">
        <v>0</v>
      </c>
      <c r="Q59" s="2" t="n">
        <v>1</v>
      </c>
      <c r="R59" s="2" t="n">
        <v>1</v>
      </c>
      <c r="S59" s="1"/>
      <c r="T59" s="6" t="n">
        <f aca="false">PRODUCT(IF(M59=1,0.6,1-0.6), IF(L59=1,0.6,1-0.6),
        IF(N59=1,0.6,1-0.6),
        IF(O59=1,0.6,1-0.6),
        IF(P59=1,0.6,1-0.6),
        IF(Q59=1,0.6,1-0.6),
        IF(R59=1,0.6,1-0.6))</f>
        <v>0.0124416</v>
      </c>
      <c r="U59" s="6" t="n">
        <f aca="false">PRODUCT(IF(M59=1,0.7,1-0.7), IF(L59=1,0.7,1-0.7),
          IF(N59=1,0.7,1-0.7),
          IF(O59=1,0.7,1-0.7),
          IF(P59=1,0.7,1-0.7),
          IF(Q59=1,0.7,1-0.7),
          IF(R59=1,0.7,1-0.7))</f>
        <v>0.0151263</v>
      </c>
      <c r="V59" s="6" t="n">
        <f aca="false">PRODUCT(IF(M59=1,0.8,1-0.8),IF(L59=1,0.8,1-0.8),
          IF(N59=1,0.8,1-0.8),
          IF(O59=1,0.8,1-0.8),
          IF(P59=1,0.8,1-0.8),
          IF(Q59=1,0.8,1-0.8),
          IF(R59=1,0.8,1-0.8))</f>
        <v>0.0131072</v>
      </c>
      <c r="W59" s="6" t="n">
        <f aca="false">PRODUCT(IF(M59=1,0.9,1-0.9), IF(L59=1,0.9,1-0.9),
          IF(N59=1,0.9,1-0.9),
          IF(O59=1,0.9,1-0.9),
          IF(P59=1,0.9,1-0.9),
          IF(Q59=1,0.9,1-0.9),
          IF(R59=1,0.9,1-0.9))</f>
        <v>0.0059049</v>
      </c>
      <c r="X59" s="2"/>
    </row>
    <row r="60" customFormat="false" ht="14.25" hidden="false" customHeight="false" outlineLevel="0" collapsed="false">
      <c r="L60" s="2" t="n">
        <v>1</v>
      </c>
      <c r="M60" s="2" t="n">
        <v>1</v>
      </c>
      <c r="N60" s="2" t="n">
        <v>1</v>
      </c>
      <c r="O60" s="2" t="n">
        <v>0</v>
      </c>
      <c r="P60" s="2" t="n">
        <v>1</v>
      </c>
      <c r="Q60" s="2" t="n">
        <v>0</v>
      </c>
      <c r="R60" s="2" t="n">
        <v>0</v>
      </c>
      <c r="S60" s="1"/>
      <c r="T60" s="6" t="n">
        <f aca="false">PRODUCT(IF(M60=1,0.6,1-0.6), IF(L60=1,0.6,1-0.6),
        IF(N60=1,0.6,1-0.6),
        IF(O60=1,0.6,1-0.6),
        IF(P60=1,0.6,1-0.6),
        IF(Q60=1,0.6,1-0.6),
        IF(R60=1,0.6,1-0.6))</f>
        <v>0.0082944</v>
      </c>
      <c r="U60" s="6" t="n">
        <f aca="false">PRODUCT(IF(M60=1,0.7,1-0.7), IF(L60=1,0.7,1-0.7),
          IF(N60=1,0.7,1-0.7),
          IF(O60=1,0.7,1-0.7),
          IF(P60=1,0.7,1-0.7),
          IF(Q60=1,0.7,1-0.7),
          IF(R60=1,0.7,1-0.7))</f>
        <v>0.0064827</v>
      </c>
      <c r="V60" s="6" t="n">
        <f aca="false">PRODUCT(IF(M60=1,0.8,1-0.8),IF(L60=1,0.8,1-0.8),
          IF(N60=1,0.8,1-0.8),
          IF(O60=1,0.8,1-0.8),
          IF(P60=1,0.8,1-0.8),
          IF(Q60=1,0.8,1-0.8),
          IF(R60=1,0.8,1-0.8))</f>
        <v>0.0032768</v>
      </c>
      <c r="W60" s="6" t="n">
        <f aca="false">PRODUCT(IF(M60=1,0.9,1-0.9), IF(L60=1,0.9,1-0.9),
          IF(N60=1,0.9,1-0.9),
          IF(O60=1,0.9,1-0.9),
          IF(P60=1,0.9,1-0.9),
          IF(Q60=1,0.9,1-0.9),
          IF(R60=1,0.9,1-0.9))</f>
        <v>0.0006561</v>
      </c>
      <c r="X60" s="2"/>
    </row>
    <row r="61" customFormat="false" ht="14.25" hidden="false" customHeight="false" outlineLevel="0" collapsed="false">
      <c r="L61" s="2" t="n">
        <v>1</v>
      </c>
      <c r="M61" s="2" t="n">
        <v>1</v>
      </c>
      <c r="N61" s="2" t="n">
        <v>1</v>
      </c>
      <c r="O61" s="2" t="n">
        <v>0</v>
      </c>
      <c r="P61" s="2" t="n">
        <v>1</v>
      </c>
      <c r="Q61" s="2" t="n">
        <v>0</v>
      </c>
      <c r="R61" s="2" t="n">
        <v>1</v>
      </c>
      <c r="S61" s="1"/>
      <c r="T61" s="6" t="n">
        <f aca="false">PRODUCT(IF(M61=1,0.6,1-0.6), IF(L61=1,0.6,1-0.6),
        IF(N61=1,0.6,1-0.6),
        IF(O61=1,0.6,1-0.6),
        IF(P61=1,0.6,1-0.6),
        IF(Q61=1,0.6,1-0.6),
        IF(R61=1,0.6,1-0.6))</f>
        <v>0.0124416</v>
      </c>
      <c r="U61" s="6" t="n">
        <f aca="false">PRODUCT(IF(M61=1,0.7,1-0.7), IF(L61=1,0.7,1-0.7),
          IF(N61=1,0.7,1-0.7),
          IF(O61=1,0.7,1-0.7),
          IF(P61=1,0.7,1-0.7),
          IF(Q61=1,0.7,1-0.7),
          IF(R61=1,0.7,1-0.7))</f>
        <v>0.0151263</v>
      </c>
      <c r="V61" s="6" t="n">
        <f aca="false">PRODUCT(IF(M61=1,0.8,1-0.8),IF(L61=1,0.8,1-0.8),
          IF(N61=1,0.8,1-0.8),
          IF(O61=1,0.8,1-0.8),
          IF(P61=1,0.8,1-0.8),
          IF(Q61=1,0.8,1-0.8),
          IF(R61=1,0.8,1-0.8))</f>
        <v>0.0131072</v>
      </c>
      <c r="W61" s="6" t="n">
        <f aca="false">PRODUCT(IF(M61=1,0.9,1-0.9), IF(L61=1,0.9,1-0.9),
          IF(N61=1,0.9,1-0.9),
          IF(O61=1,0.9,1-0.9),
          IF(P61=1,0.9,1-0.9),
          IF(Q61=1,0.9,1-0.9),
          IF(R61=1,0.9,1-0.9))</f>
        <v>0.0059049</v>
      </c>
      <c r="X61" s="2"/>
    </row>
    <row r="62" customFormat="false" ht="14.25" hidden="false" customHeight="false" outlineLevel="0" collapsed="false">
      <c r="L62" s="2" t="n">
        <v>1</v>
      </c>
      <c r="M62" s="2" t="n">
        <v>1</v>
      </c>
      <c r="N62" s="2" t="n">
        <v>1</v>
      </c>
      <c r="O62" s="2" t="n">
        <v>0</v>
      </c>
      <c r="P62" s="2" t="n">
        <v>1</v>
      </c>
      <c r="Q62" s="2" t="n">
        <v>1</v>
      </c>
      <c r="R62" s="2" t="n">
        <v>0</v>
      </c>
      <c r="S62" s="1"/>
      <c r="T62" s="6" t="n">
        <f aca="false">PRODUCT(IF(M62=1,0.6,1-0.6), IF(L62=1,0.6,1-0.6),
        IF(N62=1,0.6,1-0.6),
        IF(O62=1,0.6,1-0.6),
        IF(P62=1,0.6,1-0.6),
        IF(Q62=1,0.6,1-0.6),
        IF(R62=1,0.6,1-0.6))</f>
        <v>0.0124416</v>
      </c>
      <c r="U62" s="6" t="n">
        <f aca="false">PRODUCT(IF(M62=1,0.7,1-0.7), IF(L62=1,0.7,1-0.7),
          IF(N62=1,0.7,1-0.7),
          IF(O62=1,0.7,1-0.7),
          IF(P62=1,0.7,1-0.7),
          IF(Q62=1,0.7,1-0.7),
          IF(R62=1,0.7,1-0.7))</f>
        <v>0.0151263</v>
      </c>
      <c r="V62" s="6" t="n">
        <f aca="false">PRODUCT(IF(M62=1,0.8,1-0.8),IF(L62=1,0.8,1-0.8),
          IF(N62=1,0.8,1-0.8),
          IF(O62=1,0.8,1-0.8),
          IF(P62=1,0.8,1-0.8),
          IF(Q62=1,0.8,1-0.8),
          IF(R62=1,0.8,1-0.8))</f>
        <v>0.0131072</v>
      </c>
      <c r="W62" s="6" t="n">
        <f aca="false">PRODUCT(IF(M62=1,0.9,1-0.9), IF(L62=1,0.9,1-0.9),
          IF(N62=1,0.9,1-0.9),
          IF(O62=1,0.9,1-0.9),
          IF(P62=1,0.9,1-0.9),
          IF(Q62=1,0.9,1-0.9),
          IF(R62=1,0.9,1-0.9))</f>
        <v>0.0059049</v>
      </c>
      <c r="X62" s="2"/>
    </row>
    <row r="63" customFormat="false" ht="14.25" hidden="false" customHeight="false" outlineLevel="0" collapsed="false">
      <c r="L63" s="2" t="n">
        <v>1</v>
      </c>
      <c r="M63" s="2" t="n">
        <v>1</v>
      </c>
      <c r="N63" s="2" t="n">
        <v>1</v>
      </c>
      <c r="O63" s="2" t="n">
        <v>0</v>
      </c>
      <c r="P63" s="2" t="n">
        <v>1</v>
      </c>
      <c r="Q63" s="2" t="n">
        <v>1</v>
      </c>
      <c r="R63" s="2" t="n">
        <v>1</v>
      </c>
      <c r="S63" s="1"/>
      <c r="T63" s="6" t="n">
        <f aca="false">PRODUCT(IF(M63=1,0.6,1-0.6), IF(L63=1,0.6,1-0.6),
        IF(N63=1,0.6,1-0.6),
        IF(O63=1,0.6,1-0.6),
        IF(P63=1,0.6,1-0.6),
        IF(Q63=1,0.6,1-0.6),
        IF(R63=1,0.6,1-0.6))</f>
        <v>0.0186624</v>
      </c>
      <c r="U63" s="6" t="n">
        <f aca="false">PRODUCT(IF(M63=1,0.7,1-0.7), IF(L63=1,0.7,1-0.7),
          IF(N63=1,0.7,1-0.7),
          IF(O63=1,0.7,1-0.7),
          IF(P63=1,0.7,1-0.7),
          IF(Q63=1,0.7,1-0.7),
          IF(R63=1,0.7,1-0.7))</f>
        <v>0.0352947</v>
      </c>
      <c r="V63" s="6" t="n">
        <f aca="false">PRODUCT(IF(M63=1,0.8,1-0.8),IF(L63=1,0.8,1-0.8),
          IF(N63=1,0.8,1-0.8),
          IF(O63=1,0.8,1-0.8),
          IF(P63=1,0.8,1-0.8),
          IF(Q63=1,0.8,1-0.8),
          IF(R63=1,0.8,1-0.8))</f>
        <v>0.0524288</v>
      </c>
      <c r="W63" s="6" t="n">
        <f aca="false">PRODUCT(IF(M63=1,0.9,1-0.9), IF(L63=1,0.9,1-0.9),
          IF(N63=1,0.9,1-0.9),
          IF(O63=1,0.9,1-0.9),
          IF(P63=1,0.9,1-0.9),
          IF(Q63=1,0.9,1-0.9),
          IF(R63=1,0.9,1-0.9))</f>
        <v>0.0531441</v>
      </c>
      <c r="X63" s="2"/>
    </row>
    <row r="64" customFormat="false" ht="14.25" hidden="false" customHeight="false" outlineLevel="0" collapsed="false">
      <c r="L64" s="2" t="n">
        <v>1</v>
      </c>
      <c r="M64" s="2" t="n">
        <v>1</v>
      </c>
      <c r="N64" s="2" t="n">
        <v>1</v>
      </c>
      <c r="O64" s="2" t="n">
        <v>1</v>
      </c>
      <c r="P64" s="2" t="n">
        <v>0</v>
      </c>
      <c r="Q64" s="2" t="n">
        <v>0</v>
      </c>
      <c r="R64" s="2" t="n">
        <v>0</v>
      </c>
      <c r="S64" s="1"/>
      <c r="T64" s="6" t="n">
        <f aca="false">PRODUCT(IF(M64=1,0.6,1-0.6), IF(L64=1,0.6,1-0.6),
        IF(N64=1,0.6,1-0.6),
        IF(O64=1,0.6,1-0.6),
        IF(P64=1,0.6,1-0.6),
        IF(Q64=1,0.6,1-0.6),
        IF(R64=1,0.6,1-0.6))</f>
        <v>0.0082944</v>
      </c>
      <c r="U64" s="6" t="n">
        <f aca="false">PRODUCT(IF(M64=1,0.7,1-0.7), IF(L64=1,0.7,1-0.7),
          IF(N64=1,0.7,1-0.7),
          IF(O64=1,0.7,1-0.7),
          IF(P64=1,0.7,1-0.7),
          IF(Q64=1,0.7,1-0.7),
          IF(R64=1,0.7,1-0.7))</f>
        <v>0.0064827</v>
      </c>
      <c r="V64" s="6" t="n">
        <f aca="false">PRODUCT(IF(M64=1,0.8,1-0.8),IF(L64=1,0.8,1-0.8),
          IF(N64=1,0.8,1-0.8),
          IF(O64=1,0.8,1-0.8),
          IF(P64=1,0.8,1-0.8),
          IF(Q64=1,0.8,1-0.8),
          IF(R64=1,0.8,1-0.8))</f>
        <v>0.0032768</v>
      </c>
      <c r="W64" s="6" t="n">
        <f aca="false">PRODUCT(IF(M64=1,0.9,1-0.9), IF(L64=1,0.9,1-0.9),
          IF(N64=1,0.9,1-0.9),
          IF(O64=1,0.9,1-0.9),
          IF(P64=1,0.9,1-0.9),
          IF(Q64=1,0.9,1-0.9),
          IF(R64=1,0.9,1-0.9))</f>
        <v>0.0006561</v>
      </c>
      <c r="X64" s="2"/>
    </row>
    <row r="65" customFormat="false" ht="14.25" hidden="false" customHeight="false" outlineLevel="0" collapsed="false">
      <c r="L65" s="2" t="n">
        <v>1</v>
      </c>
      <c r="M65" s="2" t="n">
        <v>1</v>
      </c>
      <c r="N65" s="2" t="n">
        <v>1</v>
      </c>
      <c r="O65" s="2" t="n">
        <v>1</v>
      </c>
      <c r="P65" s="2" t="n">
        <v>0</v>
      </c>
      <c r="Q65" s="2" t="n">
        <v>0</v>
      </c>
      <c r="R65" s="2" t="n">
        <v>1</v>
      </c>
      <c r="S65" s="1"/>
      <c r="T65" s="6" t="n">
        <f aca="false">PRODUCT(IF(M65=1,0.6,1-0.6), IF(L65=1,0.6,1-0.6),
        IF(N65=1,0.6,1-0.6),
        IF(O65=1,0.6,1-0.6),
        IF(P65=1,0.6,1-0.6),
        IF(Q65=1,0.6,1-0.6),
        IF(R65=1,0.6,1-0.6))</f>
        <v>0.0124416</v>
      </c>
      <c r="U65" s="6" t="n">
        <f aca="false">PRODUCT(IF(M65=1,0.7,1-0.7), IF(L65=1,0.7,1-0.7),
          IF(N65=1,0.7,1-0.7),
          IF(O65=1,0.7,1-0.7),
          IF(P65=1,0.7,1-0.7),
          IF(Q65=1,0.7,1-0.7),
          IF(R65=1,0.7,1-0.7))</f>
        <v>0.0151263</v>
      </c>
      <c r="V65" s="6" t="n">
        <f aca="false">PRODUCT(IF(M65=1,0.8,1-0.8),IF(L65=1,0.8,1-0.8),
          IF(N65=1,0.8,1-0.8),
          IF(O65=1,0.8,1-0.8),
          IF(P65=1,0.8,1-0.8),
          IF(Q65=1,0.8,1-0.8),
          IF(R65=1,0.8,1-0.8))</f>
        <v>0.0131072</v>
      </c>
      <c r="W65" s="6" t="n">
        <f aca="false">PRODUCT(IF(M65=1,0.9,1-0.9), IF(L65=1,0.9,1-0.9),
          IF(N65=1,0.9,1-0.9),
          IF(O65=1,0.9,1-0.9),
          IF(P65=1,0.9,1-0.9),
          IF(Q65=1,0.9,1-0.9),
          IF(R65=1,0.9,1-0.9))</f>
        <v>0.0059049</v>
      </c>
      <c r="X65" s="2"/>
    </row>
    <row r="66" customFormat="false" ht="14.25" hidden="false" customHeight="false" outlineLevel="0" collapsed="false">
      <c r="L66" s="2" t="n">
        <v>1</v>
      </c>
      <c r="M66" s="2" t="n">
        <v>1</v>
      </c>
      <c r="N66" s="2" t="n">
        <v>1</v>
      </c>
      <c r="O66" s="2" t="n">
        <v>1</v>
      </c>
      <c r="P66" s="2" t="n">
        <v>0</v>
      </c>
      <c r="Q66" s="2" t="n">
        <v>1</v>
      </c>
      <c r="R66" s="2" t="n">
        <v>0</v>
      </c>
      <c r="S66" s="1"/>
      <c r="T66" s="6" t="n">
        <f aca="false">PRODUCT(IF(M66=1,0.6,1-0.6), IF(L66=1,0.6,1-0.6),
        IF(N66=1,0.6,1-0.6),
        IF(O66=1,0.6,1-0.6),
        IF(P66=1,0.6,1-0.6),
        IF(Q66=1,0.6,1-0.6),
        IF(R66=1,0.6,1-0.6))</f>
        <v>0.0124416</v>
      </c>
      <c r="U66" s="6" t="n">
        <f aca="false">PRODUCT(IF(M66=1,0.7,1-0.7), IF(L66=1,0.7,1-0.7),
          IF(N66=1,0.7,1-0.7),
          IF(O66=1,0.7,1-0.7),
          IF(P66=1,0.7,1-0.7),
          IF(Q66=1,0.7,1-0.7),
          IF(R66=1,0.7,1-0.7))</f>
        <v>0.0151263</v>
      </c>
      <c r="V66" s="6" t="n">
        <f aca="false">PRODUCT(IF(M66=1,0.8,1-0.8),IF(L66=1,0.8,1-0.8),
          IF(N66=1,0.8,1-0.8),
          IF(O66=1,0.8,1-0.8),
          IF(P66=1,0.8,1-0.8),
          IF(Q66=1,0.8,1-0.8),
          IF(R66=1,0.8,1-0.8))</f>
        <v>0.0131072</v>
      </c>
      <c r="W66" s="6" t="n">
        <f aca="false">PRODUCT(IF(M66=1,0.9,1-0.9), IF(L66=1,0.9,1-0.9),
          IF(N66=1,0.9,1-0.9),
          IF(O66=1,0.9,1-0.9),
          IF(P66=1,0.9,1-0.9),
          IF(Q66=1,0.9,1-0.9),
          IF(R66=1,0.9,1-0.9))</f>
        <v>0.0059049</v>
      </c>
      <c r="X66" s="2"/>
    </row>
    <row r="67" customFormat="false" ht="14.25" hidden="false" customHeight="false" outlineLevel="0" collapsed="false">
      <c r="L67" s="2" t="n">
        <v>1</v>
      </c>
      <c r="M67" s="2" t="n">
        <v>1</v>
      </c>
      <c r="N67" s="2" t="n">
        <v>1</v>
      </c>
      <c r="O67" s="2" t="n">
        <v>1</v>
      </c>
      <c r="P67" s="2" t="n">
        <v>0</v>
      </c>
      <c r="Q67" s="2" t="n">
        <v>1</v>
      </c>
      <c r="R67" s="2" t="n">
        <v>1</v>
      </c>
      <c r="S67" s="1"/>
      <c r="T67" s="6" t="n">
        <f aca="false">PRODUCT(IF(M67=1,0.6,1-0.6), IF(L67=1,0.6,1-0.6),
        IF(N67=1,0.6,1-0.6),
        IF(O67=1,0.6,1-0.6),
        IF(P67=1,0.6,1-0.6),
        IF(Q67=1,0.6,1-0.6),
        IF(R67=1,0.6,1-0.6))</f>
        <v>0.0186624</v>
      </c>
      <c r="U67" s="6" t="n">
        <f aca="false">PRODUCT(IF(M67=1,0.7,1-0.7), IF(L67=1,0.7,1-0.7),
          IF(N67=1,0.7,1-0.7),
          IF(O67=1,0.7,1-0.7),
          IF(P67=1,0.7,1-0.7),
          IF(Q67=1,0.7,1-0.7),
          IF(R67=1,0.7,1-0.7))</f>
        <v>0.0352947</v>
      </c>
      <c r="V67" s="6" t="n">
        <f aca="false">PRODUCT(IF(M67=1,0.8,1-0.8),IF(L67=1,0.8,1-0.8),
          IF(N67=1,0.8,1-0.8),
          IF(O67=1,0.8,1-0.8),
          IF(P67=1,0.8,1-0.8),
          IF(Q67=1,0.8,1-0.8),
          IF(R67=1,0.8,1-0.8))</f>
        <v>0.0524288</v>
      </c>
      <c r="W67" s="6" t="n">
        <f aca="false">PRODUCT(IF(M67=1,0.9,1-0.9), IF(L67=1,0.9,1-0.9),
          IF(N67=1,0.9,1-0.9),
          IF(O67=1,0.9,1-0.9),
          IF(P67=1,0.9,1-0.9),
          IF(Q67=1,0.9,1-0.9),
          IF(R67=1,0.9,1-0.9))</f>
        <v>0.0531441</v>
      </c>
      <c r="X67" s="2"/>
    </row>
    <row r="68" customFormat="false" ht="14.25" hidden="false" customHeight="false" outlineLevel="0" collapsed="false">
      <c r="L68" s="2" t="n">
        <v>1</v>
      </c>
      <c r="M68" s="2" t="n">
        <v>1</v>
      </c>
      <c r="N68" s="2" t="n">
        <v>1</v>
      </c>
      <c r="O68" s="2" t="n">
        <v>1</v>
      </c>
      <c r="P68" s="2" t="n">
        <v>1</v>
      </c>
      <c r="Q68" s="2" t="n">
        <v>0</v>
      </c>
      <c r="R68" s="2" t="n">
        <v>0</v>
      </c>
      <c r="S68" s="1"/>
      <c r="T68" s="6" t="n">
        <f aca="false">PRODUCT(IF(M68=1,0.6,1-0.6), IF(L68=1,0.6,1-0.6),
        IF(N68=1,0.6,1-0.6),
        IF(O68=1,0.6,1-0.6),
        IF(P68=1,0.6,1-0.6),
        IF(Q68=1,0.6,1-0.6),
        IF(R68=1,0.6,1-0.6))</f>
        <v>0.0124416</v>
      </c>
      <c r="U68" s="6" t="n">
        <f aca="false">PRODUCT(IF(M68=1,0.7,1-0.7), IF(L68=1,0.7,1-0.7),
          IF(N68=1,0.7,1-0.7),
          IF(O68=1,0.7,1-0.7),
          IF(P68=1,0.7,1-0.7),
          IF(Q68=1,0.7,1-0.7),
          IF(R68=1,0.7,1-0.7))</f>
        <v>0.0151263</v>
      </c>
      <c r="V68" s="6" t="n">
        <f aca="false">PRODUCT(IF(M68=1,0.8,1-0.8),IF(L68=1,0.8,1-0.8),
          IF(N68=1,0.8,1-0.8),
          IF(O68=1,0.8,1-0.8),
          IF(P68=1,0.8,1-0.8),
          IF(Q68=1,0.8,1-0.8),
          IF(R68=1,0.8,1-0.8))</f>
        <v>0.0131072</v>
      </c>
      <c r="W68" s="6" t="n">
        <f aca="false">PRODUCT(IF(M68=1,0.9,1-0.9), IF(L68=1,0.9,1-0.9),
          IF(N68=1,0.9,1-0.9),
          IF(O68=1,0.9,1-0.9),
          IF(P68=1,0.9,1-0.9),
          IF(Q68=1,0.9,1-0.9),
          IF(R68=1,0.9,1-0.9))</f>
        <v>0.0059049</v>
      </c>
      <c r="X68" s="2"/>
    </row>
    <row r="69" customFormat="false" ht="14.25" hidden="false" customHeight="false" outlineLevel="0" collapsed="false">
      <c r="L69" s="2" t="n">
        <v>1</v>
      </c>
      <c r="M69" s="2" t="n">
        <v>1</v>
      </c>
      <c r="N69" s="2" t="n">
        <v>1</v>
      </c>
      <c r="O69" s="2" t="n">
        <v>1</v>
      </c>
      <c r="P69" s="2" t="n">
        <v>1</v>
      </c>
      <c r="Q69" s="2" t="n">
        <v>0</v>
      </c>
      <c r="R69" s="2" t="n">
        <v>1</v>
      </c>
      <c r="S69" s="1"/>
      <c r="T69" s="6" t="n">
        <f aca="false">PRODUCT(IF(M69=1,0.6,1-0.6), IF(L69=1,0.6,1-0.6),
        IF(N69=1,0.6,1-0.6),
        IF(O69=1,0.6,1-0.6),
        IF(P69=1,0.6,1-0.6),
        IF(Q69=1,0.6,1-0.6),
        IF(R69=1,0.6,1-0.6))</f>
        <v>0.0186624</v>
      </c>
      <c r="U69" s="6" t="n">
        <f aca="false">PRODUCT(IF(M69=1,0.7,1-0.7), IF(L69=1,0.7,1-0.7),
          IF(N69=1,0.7,1-0.7),
          IF(O69=1,0.7,1-0.7),
          IF(P69=1,0.7,1-0.7),
          IF(Q69=1,0.7,1-0.7),
          IF(R69=1,0.7,1-0.7))</f>
        <v>0.0352947</v>
      </c>
      <c r="V69" s="6" t="n">
        <f aca="false">PRODUCT(IF(M69=1,0.8,1-0.8),IF(L69=1,0.8,1-0.8),
          IF(N69=1,0.8,1-0.8),
          IF(O69=1,0.8,1-0.8),
          IF(P69=1,0.8,1-0.8),
          IF(Q69=1,0.8,1-0.8),
          IF(R69=1,0.8,1-0.8))</f>
        <v>0.0524288</v>
      </c>
      <c r="W69" s="6" t="n">
        <f aca="false">PRODUCT(IF(M69=1,0.9,1-0.9), IF(L69=1,0.9,1-0.9),
          IF(N69=1,0.9,1-0.9),
          IF(O69=1,0.9,1-0.9),
          IF(P69=1,0.9,1-0.9),
          IF(Q69=1,0.9,1-0.9),
          IF(R69=1,0.9,1-0.9))</f>
        <v>0.0531441</v>
      </c>
      <c r="X69" s="2"/>
    </row>
    <row r="70" customFormat="false" ht="14.25" hidden="false" customHeight="false" outlineLevel="0" collapsed="false">
      <c r="L70" s="2" t="n">
        <v>1</v>
      </c>
      <c r="M70" s="2" t="n">
        <v>1</v>
      </c>
      <c r="N70" s="2" t="n">
        <v>1</v>
      </c>
      <c r="O70" s="2" t="n">
        <v>1</v>
      </c>
      <c r="P70" s="2" t="n">
        <v>1</v>
      </c>
      <c r="Q70" s="2" t="n">
        <v>1</v>
      </c>
      <c r="R70" s="2" t="n">
        <v>0</v>
      </c>
      <c r="S70" s="1"/>
      <c r="T70" s="6" t="n">
        <f aca="false">PRODUCT(IF(M70=1,0.6,1-0.6), IF(L70=1,0.6,1-0.6),
        IF(N70=1,0.6,1-0.6),
        IF(O70=1,0.6,1-0.6),
        IF(P70=1,0.6,1-0.6),
        IF(Q70=1,0.6,1-0.6),
        IF(R70=1,0.6,1-0.6))</f>
        <v>0.0186624</v>
      </c>
      <c r="U70" s="6" t="n">
        <f aca="false">PRODUCT(IF(M70=1,0.7,1-0.7), IF(L70=1,0.7,1-0.7),
          IF(N70=1,0.7,1-0.7),
          IF(O70=1,0.7,1-0.7),
          IF(P70=1,0.7,1-0.7),
          IF(Q70=1,0.7,1-0.7),
          IF(R70=1,0.7,1-0.7))</f>
        <v>0.0352947</v>
      </c>
      <c r="V70" s="6" t="n">
        <f aca="false">PRODUCT(IF(M70=1,0.8,1-0.8),IF(L70=1,0.8,1-0.8),
          IF(N70=1,0.8,1-0.8),
          IF(O70=1,0.8,1-0.8),
          IF(P70=1,0.8,1-0.8),
          IF(Q70=1,0.8,1-0.8),
          IF(R70=1,0.8,1-0.8))</f>
        <v>0.0524288</v>
      </c>
      <c r="W70" s="6" t="n">
        <f aca="false">PRODUCT(IF(M70=1,0.9,1-0.9), IF(L70=1,0.9,1-0.9),
          IF(N70=1,0.9,1-0.9),
          IF(O70=1,0.9,1-0.9),
          IF(P70=1,0.9,1-0.9),
          IF(Q70=1,0.9,1-0.9),
          IF(R70=1,0.9,1-0.9))</f>
        <v>0.0531441</v>
      </c>
      <c r="X70" s="2"/>
    </row>
    <row r="71" customFormat="false" ht="14.25" hidden="false" customHeight="false" outlineLevel="0" collapsed="false">
      <c r="L71" s="2" t="n">
        <v>1</v>
      </c>
      <c r="M71" s="2" t="n">
        <v>1</v>
      </c>
      <c r="N71" s="2" t="n">
        <v>1</v>
      </c>
      <c r="O71" s="2" t="n">
        <v>1</v>
      </c>
      <c r="P71" s="2" t="n">
        <v>1</v>
      </c>
      <c r="Q71" s="2" t="n">
        <v>1</v>
      </c>
      <c r="R71" s="2" t="n">
        <v>1</v>
      </c>
      <c r="S71" s="1"/>
      <c r="T71" s="6" t="n">
        <f aca="false">PRODUCT(IF(M71=1,0.6,1-0.6), IF(L71=1,0.6,1-0.6),
        IF(N71=1,0.6,1-0.6),
        IF(O71=1,0.6,1-0.6),
        IF(P71=1,0.6,1-0.6),
        IF(Q71=1,0.6,1-0.6),
        IF(R71=1,0.6,1-0.6))</f>
        <v>0.0279936</v>
      </c>
      <c r="U71" s="6" t="n">
        <f aca="false">PRODUCT(IF(M71=1,0.7,1-0.7), IF(L71=1,0.7,1-0.7),
          IF(N71=1,0.7,1-0.7),
          IF(O71=1,0.7,1-0.7),
          IF(P71=1,0.7,1-0.7),
          IF(Q71=1,0.7,1-0.7),
          IF(R71=1,0.7,1-0.7))</f>
        <v>0.0823543</v>
      </c>
      <c r="V71" s="6" t="n">
        <f aca="false">PRODUCT(IF(M71=1,0.8,1-0.8),IF(L71=1,0.8,1-0.8),
          IF(N71=1,0.8,1-0.8),
          IF(O71=1,0.8,1-0.8),
          IF(P71=1,0.8,1-0.8),
          IF(Q71=1,0.8,1-0.8),
          IF(R71=1,0.8,1-0.8))</f>
        <v>0.2097152</v>
      </c>
      <c r="W71" s="6" t="n">
        <f aca="false">PRODUCT(IF(M71=1,0.9,1-0.9), IF(L71=1,0.9,1-0.9),
          IF(N71=1,0.9,1-0.9),
          IF(O71=1,0.9,1-0.9),
          IF(P71=1,0.9,1-0.9),
          IF(Q71=1,0.9,1-0.9),
          IF(R71=1,0.9,1-0.9))</f>
        <v>0.4782969</v>
      </c>
      <c r="X71" s="2"/>
    </row>
    <row r="72" customFormat="false" ht="14.25" hidden="false" customHeight="false" outlineLevel="0" collapsed="false">
      <c r="L72" s="0"/>
      <c r="M72" s="0"/>
      <c r="N72" s="7" t="s">
        <v>6</v>
      </c>
      <c r="O72" s="1"/>
      <c r="P72" s="1"/>
      <c r="Q72" s="8" t="s">
        <v>7</v>
      </c>
      <c r="R72" s="1"/>
      <c r="S72" s="7"/>
      <c r="T72" s="9" t="n">
        <f aca="false">SUM(T3:T71)</f>
        <v>0.6642816</v>
      </c>
      <c r="U72" s="9" t="n">
        <f aca="false">SUM(U3:U71)</f>
        <v>0.7871563</v>
      </c>
      <c r="V72" s="9" t="n">
        <f aca="false">SUM(V3:V71)</f>
        <v>0.8950272</v>
      </c>
      <c r="W72" s="9" t="n">
        <f aca="false">SUM(W3:W71)</f>
        <v>0.9715149</v>
      </c>
      <c r="X72" s="8"/>
    </row>
    <row r="73" customFormat="false" ht="14.25" hidden="false" customHeight="false" outlineLevel="0" collapsed="false"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 customFormat="false" ht="14.25" hidden="false" customHeight="false" outlineLevel="0" collapsed="false">
      <c r="L74" s="1"/>
      <c r="M74" s="1"/>
      <c r="N74" s="0"/>
      <c r="O74" s="0"/>
      <c r="P74" s="0"/>
      <c r="Q74" s="0"/>
      <c r="R74" s="0"/>
      <c r="S74" s="0"/>
      <c r="T74" s="0"/>
      <c r="U74" s="0"/>
      <c r="V74" s="0"/>
    </row>
    <row r="75" customFormat="false" ht="14.25" hidden="false" customHeight="false" outlineLevel="0" collapsed="false">
      <c r="L75" s="2"/>
      <c r="M75" s="2"/>
      <c r="N75" s="2"/>
      <c r="O75" s="2"/>
      <c r="P75" s="2"/>
      <c r="Q75" s="2"/>
      <c r="R75" s="2"/>
      <c r="S75" s="1"/>
      <c r="T75" s="6"/>
      <c r="U75" s="6"/>
      <c r="V75" s="6"/>
      <c r="W75" s="6"/>
      <c r="X75" s="2"/>
    </row>
    <row r="76" customFormat="false" ht="14.25" hidden="false" customHeight="false" outlineLevel="0" collapsed="false">
      <c r="L76" s="2"/>
      <c r="M76" s="2"/>
      <c r="N76" s="2"/>
      <c r="O76" s="2"/>
      <c r="P76" s="2"/>
      <c r="Q76" s="2"/>
      <c r="R76" s="2"/>
      <c r="S76" s="1"/>
      <c r="T76" s="6"/>
      <c r="U76" s="6"/>
      <c r="V76" s="6"/>
      <c r="W76" s="6"/>
      <c r="X76" s="2"/>
    </row>
    <row r="77" customFormat="false" ht="14.25" hidden="false" customHeight="false" outlineLevel="0" collapsed="false">
      <c r="L77" s="2"/>
      <c r="M77" s="2"/>
      <c r="N77" s="2"/>
      <c r="O77" s="2"/>
      <c r="P77" s="2"/>
      <c r="Q77" s="2"/>
      <c r="R77" s="2"/>
      <c r="S77" s="1"/>
      <c r="T77" s="6"/>
      <c r="U77" s="6"/>
      <c r="V77" s="6"/>
      <c r="W77" s="6"/>
      <c r="X77" s="2"/>
    </row>
    <row r="78" customFormat="false" ht="14.25" hidden="false" customHeight="false" outlineLevel="0" collapsed="false">
      <c r="L78" s="2"/>
      <c r="M78" s="2"/>
      <c r="N78" s="2"/>
      <c r="O78" s="2"/>
      <c r="P78" s="2"/>
      <c r="Q78" s="2"/>
      <c r="R78" s="2"/>
      <c r="S78" s="1"/>
      <c r="T78" s="6"/>
      <c r="U78" s="6"/>
      <c r="V78" s="6"/>
      <c r="W78" s="6"/>
      <c r="X78" s="2"/>
    </row>
    <row r="79" customFormat="false" ht="14.25" hidden="false" customHeight="false" outlineLevel="0" collapsed="false">
      <c r="L79" s="2"/>
      <c r="M79" s="2"/>
      <c r="N79" s="2"/>
      <c r="O79" s="2"/>
      <c r="P79" s="2"/>
      <c r="Q79" s="2"/>
      <c r="R79" s="2"/>
      <c r="S79" s="1"/>
      <c r="T79" s="6"/>
      <c r="U79" s="6"/>
      <c r="V79" s="6"/>
      <c r="W79" s="6"/>
      <c r="X79" s="2"/>
    </row>
    <row r="80" customFormat="false" ht="14.25" hidden="false" customHeight="false" outlineLevel="0" collapsed="false">
      <c r="L80" s="2"/>
      <c r="M80" s="2"/>
      <c r="N80" s="2"/>
      <c r="O80" s="2"/>
      <c r="P80" s="2"/>
      <c r="Q80" s="2"/>
      <c r="R80" s="2"/>
      <c r="S80" s="1"/>
      <c r="T80" s="6"/>
      <c r="U80" s="6"/>
      <c r="V80" s="6"/>
      <c r="W80" s="6"/>
      <c r="X80" s="2"/>
    </row>
    <row r="81" customFormat="false" ht="14.25" hidden="false" customHeight="false" outlineLevel="0" collapsed="false">
      <c r="L81" s="2"/>
      <c r="M81" s="2"/>
      <c r="N81" s="2"/>
      <c r="O81" s="2"/>
      <c r="P81" s="2"/>
      <c r="Q81" s="2"/>
      <c r="R81" s="2"/>
      <c r="S81" s="1"/>
      <c r="T81" s="6"/>
      <c r="U81" s="6"/>
      <c r="V81" s="6"/>
      <c r="W81" s="6"/>
      <c r="X81" s="2"/>
    </row>
    <row r="82" customFormat="false" ht="14.25" hidden="false" customHeight="false" outlineLevel="0" collapsed="false">
      <c r="L82" s="2"/>
      <c r="M82" s="2"/>
      <c r="N82" s="2"/>
      <c r="O82" s="2"/>
      <c r="P82" s="2"/>
      <c r="Q82" s="2"/>
      <c r="R82" s="2"/>
      <c r="S82" s="1"/>
      <c r="T82" s="6"/>
      <c r="U82" s="6"/>
      <c r="V82" s="6"/>
      <c r="W82" s="6"/>
      <c r="X82" s="2"/>
    </row>
    <row r="83" customFormat="false" ht="14.25" hidden="false" customHeight="false" outlineLevel="0" collapsed="false"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 customFormat="false" ht="14.25" hidden="false" customHeight="false" outlineLevel="0" collapsed="false"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 customFormat="false" ht="14.25" hidden="false" customHeight="false" outlineLevel="0" collapsed="false"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 customFormat="false" ht="14.25" hidden="false" customHeight="false" outlineLevel="0" collapsed="false"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 customFormat="false" ht="14.25" hidden="false" customHeight="false" outlineLevel="0" collapsed="false"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 customFormat="false" ht="14.25" hidden="false" customHeight="false" outlineLevel="0" collapsed="false"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 customFormat="false" ht="14.25" hidden="false" customHeight="false" outlineLevel="0" collapsed="false"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 customFormat="false" ht="14.25" hidden="false" customHeight="false" outlineLevel="0" collapsed="false"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 customFormat="false" ht="14.25" hidden="false" customHeight="false" outlineLevel="0" collapsed="false"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 customFormat="false" ht="14.25" hidden="false" customHeight="false" outlineLevel="0" collapsed="false"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 customFormat="false" ht="14.25" hidden="false" customHeight="false" outlineLevel="0" collapsed="false"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 customFormat="false" ht="14.25" hidden="false" customHeight="false" outlineLevel="0" collapsed="false"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 customFormat="false" ht="14.25" hidden="false" customHeight="false" outlineLevel="0" collapsed="false"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 customFormat="false" ht="14.25" hidden="false" customHeight="false" outlineLevel="0" collapsed="false"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 customFormat="false" ht="14.25" hidden="false" customHeight="false" outlineLevel="0" collapsed="false"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 customFormat="false" ht="14.25" hidden="false" customHeight="false" outlineLevel="0" collapsed="false"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 customFormat="false" ht="14.25" hidden="false" customHeight="false" outlineLevel="0" collapsed="false">
      <c r="L99" s="2"/>
      <c r="M99" s="2"/>
      <c r="N99" s="2"/>
      <c r="O99" s="2"/>
      <c r="P99" s="2"/>
      <c r="Q99" s="2"/>
      <c r="R99" s="2"/>
      <c r="S99" s="1"/>
      <c r="T99" s="6"/>
      <c r="U99" s="6"/>
      <c r="V99" s="6"/>
      <c r="W99" s="6"/>
      <c r="X99" s="2"/>
    </row>
    <row r="100" customFormat="false" ht="14.25" hidden="false" customHeight="false" outlineLevel="0" collapsed="false">
      <c r="L100" s="2"/>
      <c r="M100" s="2"/>
      <c r="N100" s="2"/>
      <c r="O100" s="2"/>
      <c r="P100" s="2"/>
      <c r="Q100" s="2"/>
      <c r="R100" s="2"/>
      <c r="S100" s="1"/>
      <c r="T100" s="6"/>
      <c r="U100" s="6"/>
      <c r="V100" s="6"/>
      <c r="W100" s="6"/>
      <c r="X100" s="2"/>
    </row>
    <row r="101" customFormat="false" ht="14.25" hidden="false" customHeight="false" outlineLevel="0" collapsed="false">
      <c r="L101" s="2"/>
      <c r="M101" s="2"/>
      <c r="N101" s="2"/>
      <c r="O101" s="2"/>
      <c r="P101" s="2"/>
      <c r="Q101" s="2"/>
      <c r="R101" s="2"/>
      <c r="S101" s="1"/>
      <c r="T101" s="6"/>
      <c r="U101" s="6"/>
      <c r="V101" s="6"/>
      <c r="W101" s="6"/>
      <c r="X101" s="2"/>
    </row>
    <row r="102" customFormat="false" ht="14.25" hidden="false" customHeight="false" outlineLevel="0" collapsed="false">
      <c r="L102" s="2"/>
      <c r="M102" s="2"/>
      <c r="N102" s="2"/>
      <c r="O102" s="2"/>
      <c r="P102" s="2"/>
      <c r="Q102" s="2"/>
      <c r="R102" s="2"/>
      <c r="S102" s="1"/>
      <c r="T102" s="6"/>
      <c r="U102" s="6"/>
      <c r="V102" s="6"/>
      <c r="W102" s="6"/>
      <c r="X102" s="2"/>
    </row>
    <row r="103" customFormat="false" ht="14.25" hidden="false" customHeight="false" outlineLevel="0" collapsed="false">
      <c r="L103" s="2"/>
      <c r="M103" s="2"/>
      <c r="N103" s="2"/>
      <c r="O103" s="2"/>
      <c r="P103" s="2"/>
      <c r="Q103" s="2"/>
      <c r="R103" s="2"/>
      <c r="S103" s="1"/>
      <c r="T103" s="6"/>
      <c r="U103" s="6"/>
      <c r="V103" s="6"/>
      <c r="W103" s="6"/>
      <c r="X103" s="2"/>
    </row>
    <row r="104" customFormat="false" ht="14.25" hidden="false" customHeight="false" outlineLevel="0" collapsed="false">
      <c r="L104" s="2"/>
      <c r="M104" s="2"/>
      <c r="N104" s="2"/>
      <c r="O104" s="2"/>
      <c r="P104" s="2"/>
      <c r="Q104" s="2"/>
      <c r="R104" s="2"/>
      <c r="S104" s="1"/>
      <c r="T104" s="6"/>
      <c r="U104" s="6"/>
      <c r="V104" s="6"/>
      <c r="W104" s="6"/>
      <c r="X104" s="2"/>
    </row>
    <row r="105" customFormat="false" ht="14.25" hidden="false" customHeight="false" outlineLevel="0" collapsed="false">
      <c r="L105" s="2"/>
      <c r="M105" s="2"/>
      <c r="N105" s="2"/>
      <c r="O105" s="2"/>
      <c r="P105" s="2"/>
      <c r="Q105" s="2"/>
      <c r="R105" s="2"/>
      <c r="S105" s="1"/>
      <c r="T105" s="6"/>
      <c r="U105" s="6"/>
      <c r="V105" s="6"/>
      <c r="W105" s="6"/>
      <c r="X105" s="2"/>
    </row>
    <row r="106" customFormat="false" ht="14.25" hidden="false" customHeight="false" outlineLevel="0" collapsed="false">
      <c r="L106" s="2"/>
      <c r="M106" s="2"/>
      <c r="N106" s="2"/>
      <c r="O106" s="2"/>
      <c r="P106" s="2"/>
      <c r="Q106" s="2"/>
      <c r="R106" s="2"/>
      <c r="S106" s="1"/>
      <c r="T106" s="6"/>
      <c r="U106" s="6"/>
      <c r="V106" s="6"/>
      <c r="W106" s="6"/>
      <c r="X106" s="2"/>
    </row>
    <row r="107" customFormat="false" ht="14.25" hidden="false" customHeight="false" outlineLevel="0" collapsed="false">
      <c r="L107" s="2"/>
      <c r="M107" s="2"/>
      <c r="N107" s="2"/>
      <c r="O107" s="2"/>
      <c r="P107" s="2"/>
      <c r="Q107" s="2"/>
      <c r="R107" s="2"/>
      <c r="S107" s="1"/>
      <c r="T107" s="6"/>
      <c r="U107" s="6"/>
      <c r="V107" s="6"/>
      <c r="W107" s="6"/>
      <c r="X107" s="2"/>
    </row>
    <row r="108" customFormat="false" ht="14.25" hidden="false" customHeight="false" outlineLevel="0" collapsed="false"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 customFormat="false" ht="14.25" hidden="false" customHeight="false" outlineLevel="0" collapsed="false"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 customFormat="false" ht="14.25" hidden="false" customHeight="false" outlineLevel="0" collapsed="false"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 customFormat="false" ht="14.25" hidden="false" customHeight="false" outlineLevel="0" collapsed="false"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 customFormat="false" ht="14.25" hidden="false" customHeight="false" outlineLevel="0" collapsed="false"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 customFormat="false" ht="14.25" hidden="false" customHeight="false" outlineLevel="0" collapsed="false"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 customFormat="false" ht="14.25" hidden="false" customHeight="false" outlineLevel="0" collapsed="false"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 customFormat="false" ht="14.25" hidden="false" customHeight="false" outlineLevel="0" collapsed="false"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 customFormat="false" ht="14.25" hidden="false" customHeight="false" outlineLevel="0" collapsed="false"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 customFormat="false" ht="14.25" hidden="false" customHeight="false" outlineLevel="0" collapsed="false"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 customFormat="false" ht="14.25" hidden="false" customHeight="false" outlineLevel="0" collapsed="false"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 customFormat="false" ht="14.25" hidden="false" customHeight="false" outlineLevel="0" collapsed="false"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 customFormat="false" ht="14.25" hidden="false" customHeight="false" outlineLevel="0" collapsed="false"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 customFormat="false" ht="14.25" hidden="false" customHeight="false" outlineLevel="0" collapsed="false"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  <row r="122" customFormat="false" ht="14.25" hidden="false" customHeight="false" outlineLevel="0" collapsed="false"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</row>
    <row r="123" customFormat="false" ht="14.25" hidden="false" customHeight="false" outlineLevel="0" collapsed="false"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</row>
    <row r="124" customFormat="false" ht="14.25" hidden="false" customHeight="false" outlineLevel="0" collapsed="false"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</row>
    <row r="125" customFormat="false" ht="14.25" hidden="false" customHeight="false" outlineLevel="0" collapsed="false"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</row>
    <row r="126" customFormat="false" ht="14.25" hidden="false" customHeight="false" outlineLevel="0" collapsed="false"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</row>
    <row r="127" customFormat="false" ht="14.25" hidden="false" customHeight="false" outlineLevel="0" collapsed="false"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</row>
    <row r="128" customFormat="false" ht="14.25" hidden="false" customHeight="false" outlineLevel="0" collapsed="false"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</row>
    <row r="129" customFormat="false" ht="14.25" hidden="false" customHeight="false" outlineLevel="0" collapsed="false"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</row>
    <row r="130" customFormat="false" ht="14.25" hidden="false" customHeight="false" outlineLevel="0" collapsed="false"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</row>
    <row r="131" customFormat="false" ht="14.25" hidden="false" customHeight="false" outlineLevel="0" collapsed="false"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</row>
  </sheetData>
  <mergeCells count="2">
    <mergeCell ref="A1:K1"/>
    <mergeCell ref="M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39" activeCellId="0" sqref="D3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2" width="16.67"/>
    <col collapsed="false" customWidth="true" hidden="false" outlineLevel="0" max="2" min="2" style="12" width="24.52"/>
    <col collapsed="false" customWidth="true" hidden="false" outlineLevel="0" max="13" min="13" style="0" width="18.27"/>
    <col collapsed="false" customWidth="true" hidden="false" outlineLevel="0" max="14" min="14" style="0" width="24.52"/>
    <col collapsed="false" customWidth="true" hidden="false" outlineLevel="0" max="20" min="15" style="0" width="9.81"/>
  </cols>
  <sheetData>
    <row r="1" customFormat="false" ht="14.25" hidden="false" customHeight="false" outlineLevel="0" collapsed="false">
      <c r="A1" s="12" t="s">
        <v>18</v>
      </c>
      <c r="B1" s="12" t="s">
        <v>19</v>
      </c>
      <c r="C1" s="12" t="n">
        <v>2</v>
      </c>
      <c r="D1" s="12" t="n">
        <v>3</v>
      </c>
      <c r="E1" s="12" t="n">
        <v>4</v>
      </c>
      <c r="F1" s="12" t="n">
        <v>5</v>
      </c>
      <c r="G1" s="0" t="n">
        <v>7</v>
      </c>
      <c r="H1" s="0" t="n">
        <v>11</v>
      </c>
    </row>
    <row r="2" customFormat="false" ht="14.25" hidden="false" customHeight="false" outlineLevel="0" collapsed="false">
      <c r="A2" s="12" t="n">
        <v>0.1</v>
      </c>
      <c r="B2" s="12" t="n">
        <v>0.7124509</v>
      </c>
      <c r="C2" s="14" t="n">
        <v>0.7124509</v>
      </c>
      <c r="D2" s="12" t="n">
        <v>0.3614689</v>
      </c>
      <c r="E2" s="14" t="n">
        <v>0.7124509</v>
      </c>
      <c r="F2" s="0" t="n">
        <v>0.7741909</v>
      </c>
      <c r="G2" s="0" t="n">
        <v>0.7741909</v>
      </c>
      <c r="H2" s="0" t="n">
        <v>0.7556689</v>
      </c>
    </row>
    <row r="3" customFormat="false" ht="14.25" hidden="false" customHeight="false" outlineLevel="0" collapsed="false">
      <c r="A3" s="12" t="n">
        <v>0.2</v>
      </c>
      <c r="B3" s="12" t="n">
        <v>0.7249018</v>
      </c>
      <c r="C3" s="12" t="n">
        <v>0.7249018</v>
      </c>
      <c r="D3" s="12" t="n">
        <v>0.4324168</v>
      </c>
      <c r="E3" s="12" t="n">
        <v>0.7249018</v>
      </c>
      <c r="F3" s="0" t="n">
        <v>0.7763518</v>
      </c>
      <c r="G3" s="0" t="n">
        <v>0.7763518</v>
      </c>
      <c r="H3" s="0" t="n">
        <v>0.7609168</v>
      </c>
    </row>
    <row r="4" customFormat="false" ht="14.25" hidden="false" customHeight="false" outlineLevel="0" collapsed="false">
      <c r="A4" s="12" t="n">
        <v>0.3</v>
      </c>
      <c r="B4" s="15" t="n">
        <v>0.7373527</v>
      </c>
      <c r="C4" s="12" t="n">
        <v>0.7373527</v>
      </c>
      <c r="D4" s="12" t="n">
        <v>0.5033647</v>
      </c>
      <c r="E4" s="12" t="n">
        <v>0.7373527</v>
      </c>
      <c r="F4" s="0" t="n">
        <v>0.7785127</v>
      </c>
      <c r="G4" s="0" t="n">
        <v>0.7785127</v>
      </c>
      <c r="H4" s="0" t="n">
        <v>0.7661647</v>
      </c>
    </row>
    <row r="5" customFormat="false" ht="14.25" hidden="false" customHeight="false" outlineLevel="0" collapsed="false">
      <c r="A5" s="12" t="n">
        <v>0.4</v>
      </c>
      <c r="B5" s="12" t="n">
        <v>0.7498036</v>
      </c>
      <c r="C5" s="12" t="n">
        <v>0.7498036</v>
      </c>
      <c r="D5" s="12" t="n">
        <v>0.5743126</v>
      </c>
      <c r="E5" s="12" t="n">
        <v>0.7498036</v>
      </c>
      <c r="F5" s="0" t="n">
        <v>0.7806736</v>
      </c>
      <c r="G5" s="0" t="n">
        <v>0.7806736</v>
      </c>
      <c r="H5" s="0" t="n">
        <v>0.7714126</v>
      </c>
    </row>
    <row r="6" customFormat="false" ht="14.25" hidden="false" customHeight="false" outlineLevel="0" collapsed="false">
      <c r="A6" s="12" t="n">
        <v>0.5</v>
      </c>
      <c r="B6" s="12" t="n">
        <v>0.7622545</v>
      </c>
      <c r="C6" s="12" t="n">
        <v>0.7622545</v>
      </c>
      <c r="D6" s="12" t="n">
        <v>0.6452605</v>
      </c>
      <c r="E6" s="12" t="n">
        <v>0.7622545</v>
      </c>
      <c r="F6" s="0" t="n">
        <v>0.7828345</v>
      </c>
      <c r="G6" s="0" t="n">
        <v>0.7828345</v>
      </c>
      <c r="H6" s="0" t="n">
        <v>0.7766605</v>
      </c>
    </row>
    <row r="7" customFormat="false" ht="14.25" hidden="false" customHeight="false" outlineLevel="0" collapsed="false">
      <c r="A7" s="12" t="n">
        <v>0.6</v>
      </c>
      <c r="B7" s="14" t="n">
        <v>0.7747054</v>
      </c>
      <c r="C7" s="14" t="n">
        <v>0.7747054</v>
      </c>
      <c r="D7" s="12" t="n">
        <v>0.7162084</v>
      </c>
      <c r="E7" s="12" t="n">
        <v>0.7747054</v>
      </c>
      <c r="F7" s="0" t="n">
        <v>0.7849954</v>
      </c>
      <c r="G7" s="0" t="n">
        <v>0.7849954</v>
      </c>
      <c r="H7" s="0" t="n">
        <v>0.7819084</v>
      </c>
    </row>
    <row r="8" customFormat="false" ht="14.25" hidden="false" customHeight="false" outlineLevel="0" collapsed="false">
      <c r="A8" s="12" t="n">
        <v>0.7</v>
      </c>
      <c r="B8" s="12" t="n">
        <v>0.7871563</v>
      </c>
      <c r="C8" s="12" t="n">
        <v>0.7871563</v>
      </c>
      <c r="D8" s="12" t="n">
        <v>0.7871563</v>
      </c>
      <c r="E8" s="12" t="n">
        <v>0.7871563</v>
      </c>
      <c r="F8" s="12" t="n">
        <v>0.7871563</v>
      </c>
      <c r="G8" s="12" t="n">
        <v>0.7871563</v>
      </c>
      <c r="H8" s="14" t="n">
        <v>0.7871563</v>
      </c>
    </row>
    <row r="9" customFormat="false" ht="14.25" hidden="false" customHeight="false" outlineLevel="0" collapsed="false">
      <c r="A9" s="12" t="n">
        <v>0.8</v>
      </c>
      <c r="B9" s="12" t="n">
        <v>0.7996072</v>
      </c>
      <c r="C9" s="12" t="n">
        <v>0.7996072</v>
      </c>
      <c r="D9" s="12" t="n">
        <v>0.8581042</v>
      </c>
      <c r="E9" s="12" t="n">
        <v>0.7996072</v>
      </c>
      <c r="F9" s="16" t="n">
        <v>0.7893172</v>
      </c>
      <c r="G9" s="0" t="n">
        <v>0.7893172</v>
      </c>
      <c r="H9" s="0" t="n">
        <v>0.7924042</v>
      </c>
    </row>
    <row r="10" customFormat="false" ht="14.25" hidden="false" customHeight="false" outlineLevel="0" collapsed="false">
      <c r="A10" s="12" t="n">
        <v>0.9</v>
      </c>
      <c r="B10" s="14" t="n">
        <v>0.8120581</v>
      </c>
      <c r="C10" s="12" t="n">
        <v>0.8120581</v>
      </c>
      <c r="D10" s="12" t="n">
        <v>0.9290521</v>
      </c>
      <c r="E10" s="12" t="n">
        <v>0.8120581</v>
      </c>
      <c r="F10" s="0" t="n">
        <v>0.7914781</v>
      </c>
      <c r="G10" s="0" t="n">
        <v>0.7914781</v>
      </c>
      <c r="H10" s="0" t="n">
        <v>0.7976521</v>
      </c>
    </row>
    <row r="11" customFormat="false" ht="14.25" hidden="false" customHeight="false" outlineLevel="0" collapsed="false">
      <c r="A11" s="12" t="n">
        <v>1</v>
      </c>
      <c r="B11" s="12" t="n">
        <v>0.824509</v>
      </c>
      <c r="C11" s="12" t="n">
        <v>0.824509</v>
      </c>
      <c r="D11" s="12" t="n">
        <v>1</v>
      </c>
      <c r="E11" s="12" t="n">
        <v>0.824509</v>
      </c>
      <c r="F11" s="0" t="n">
        <v>0.793639</v>
      </c>
      <c r="G11" s="0" t="n">
        <v>0.793639</v>
      </c>
      <c r="H11" s="0" t="n">
        <v>0.8029</v>
      </c>
    </row>
    <row r="13" customFormat="false" ht="14.25" hidden="false" customHeight="false" outlineLevel="0" collapsed="false">
      <c r="A13" s="12" t="s">
        <v>20</v>
      </c>
    </row>
    <row r="14" customFormat="false" ht="14.25" hidden="false" customHeight="false" outlineLevel="0" collapsed="false">
      <c r="A14" s="12" t="s">
        <v>21</v>
      </c>
    </row>
    <row r="100" customFormat="false" ht="14.25" hidden="false" customHeight="false" outlineLevel="0" collapsed="false">
      <c r="A100" s="4"/>
      <c r="B100" s="4"/>
      <c r="C100" s="4"/>
      <c r="D100" s="4"/>
      <c r="E100" s="4"/>
      <c r="F100" s="4"/>
      <c r="G100" s="1"/>
      <c r="H100" s="2"/>
      <c r="I100" s="3"/>
      <c r="J100" s="3"/>
      <c r="K100" s="3"/>
      <c r="L100" s="3"/>
      <c r="M100" s="1"/>
    </row>
    <row r="101" customFormat="false" ht="14.25" hidden="false" customHeight="false" outlineLevel="0" collapsed="false">
      <c r="A101" s="2"/>
      <c r="B101" s="2"/>
      <c r="C101" s="2"/>
      <c r="D101" s="2"/>
      <c r="E101" s="2"/>
      <c r="F101" s="2"/>
      <c r="G101" s="2"/>
      <c r="H101" s="1"/>
      <c r="I101" s="5"/>
      <c r="J101" s="5"/>
      <c r="K101" s="5"/>
      <c r="L101" s="5"/>
      <c r="M101" s="1"/>
    </row>
    <row r="102" customFormat="false" ht="14.25" hidden="false" customHeight="false" outlineLevel="0" collapsed="false">
      <c r="A102" s="2"/>
      <c r="B102" s="2"/>
      <c r="C102" s="2"/>
      <c r="D102" s="2"/>
      <c r="E102" s="2"/>
      <c r="F102" s="2"/>
      <c r="G102" s="2"/>
      <c r="H102" s="1"/>
      <c r="I102" s="2"/>
      <c r="J102" s="6"/>
      <c r="K102" s="6"/>
      <c r="L102" s="6"/>
    </row>
    <row r="103" customFormat="false" ht="14.25" hidden="false" customHeight="false" outlineLevel="0" collapsed="false">
      <c r="A103" s="2"/>
      <c r="B103" s="2"/>
      <c r="C103" s="2"/>
      <c r="D103" s="2"/>
      <c r="E103" s="2"/>
      <c r="F103" s="2"/>
      <c r="G103" s="2"/>
      <c r="H103" s="1"/>
      <c r="I103" s="2"/>
      <c r="J103" s="6"/>
      <c r="K103" s="6"/>
      <c r="L103" s="6"/>
    </row>
    <row r="104" customFormat="false" ht="14.25" hidden="false" customHeight="false" outlineLevel="0" collapsed="false">
      <c r="A104" s="2"/>
      <c r="B104" s="2"/>
      <c r="C104" s="2"/>
      <c r="D104" s="2"/>
      <c r="E104" s="2"/>
      <c r="F104" s="2"/>
      <c r="G104" s="2"/>
      <c r="H104" s="1"/>
      <c r="I104" s="2"/>
      <c r="J104" s="6"/>
      <c r="K104" s="6"/>
      <c r="L104" s="6"/>
    </row>
    <row r="105" customFormat="false" ht="14.25" hidden="false" customHeight="false" outlineLevel="0" collapsed="false">
      <c r="A105" s="2"/>
      <c r="B105" s="2"/>
      <c r="C105" s="2"/>
      <c r="D105" s="2"/>
      <c r="E105" s="2"/>
      <c r="F105" s="2"/>
      <c r="G105" s="2"/>
      <c r="H105" s="1"/>
      <c r="I105" s="2"/>
      <c r="J105" s="6"/>
      <c r="K105" s="6"/>
      <c r="L105" s="6"/>
    </row>
    <row r="106" customFormat="false" ht="14.25" hidden="false" customHeight="false" outlineLevel="0" collapsed="false">
      <c r="A106" s="2"/>
      <c r="B106" s="2"/>
      <c r="C106" s="2"/>
      <c r="D106" s="2"/>
      <c r="E106" s="2"/>
      <c r="F106" s="2"/>
      <c r="G106" s="2"/>
      <c r="H106" s="1"/>
      <c r="I106" s="2"/>
      <c r="J106" s="6"/>
      <c r="K106" s="6"/>
      <c r="L106" s="6"/>
    </row>
    <row r="107" customFormat="false" ht="14.25" hidden="false" customHeight="false" outlineLevel="0" collapsed="false">
      <c r="A107" s="2"/>
      <c r="B107" s="2"/>
      <c r="C107" s="2"/>
      <c r="D107" s="2"/>
      <c r="E107" s="2"/>
      <c r="F107" s="2"/>
      <c r="G107" s="2"/>
      <c r="H107" s="1"/>
      <c r="I107" s="2"/>
      <c r="J107" s="6"/>
      <c r="K107" s="6"/>
      <c r="L107" s="6"/>
    </row>
    <row r="108" customFormat="false" ht="14.25" hidden="false" customHeight="false" outlineLevel="0" collapsed="false">
      <c r="A108" s="2"/>
      <c r="B108" s="2"/>
      <c r="C108" s="2"/>
      <c r="D108" s="2"/>
      <c r="E108" s="2"/>
      <c r="F108" s="2"/>
      <c r="G108" s="2"/>
      <c r="H108" s="1"/>
      <c r="I108" s="2"/>
      <c r="J108" s="6"/>
      <c r="K108" s="6"/>
      <c r="L108" s="6"/>
    </row>
    <row r="109" customFormat="false" ht="14.25" hidden="false" customHeight="false" outlineLevel="0" collapsed="false">
      <c r="A109" s="2"/>
      <c r="B109" s="2"/>
      <c r="C109" s="2"/>
      <c r="D109" s="2"/>
      <c r="E109" s="2"/>
      <c r="F109" s="2"/>
      <c r="G109" s="2"/>
      <c r="H109" s="1"/>
      <c r="I109" s="2"/>
      <c r="J109" s="6"/>
      <c r="K109" s="6"/>
      <c r="L109" s="6"/>
    </row>
    <row r="110" customFormat="false" ht="14.25" hidden="false" customHeight="false" outlineLevel="0" collapsed="false">
      <c r="A110" s="2"/>
      <c r="B110" s="2"/>
      <c r="C110" s="2"/>
      <c r="D110" s="2"/>
      <c r="E110" s="2"/>
      <c r="F110" s="2"/>
      <c r="G110" s="2"/>
      <c r="H110" s="1"/>
      <c r="I110" s="2"/>
      <c r="J110" s="6"/>
      <c r="K110" s="6"/>
      <c r="L110" s="6"/>
    </row>
    <row r="111" customFormat="false" ht="14.25" hidden="false" customHeight="false" outlineLevel="0" collapsed="false">
      <c r="A111" s="2"/>
      <c r="B111" s="2"/>
      <c r="C111" s="2"/>
      <c r="D111" s="2"/>
      <c r="E111" s="2"/>
      <c r="F111" s="2"/>
      <c r="G111" s="2"/>
      <c r="H111" s="1"/>
      <c r="I111" s="2"/>
      <c r="J111" s="6"/>
      <c r="K111" s="6"/>
      <c r="L111" s="6"/>
    </row>
    <row r="112" customFormat="false" ht="14.25" hidden="false" customHeight="false" outlineLevel="0" collapsed="false">
      <c r="A112" s="2"/>
      <c r="B112" s="2"/>
      <c r="C112" s="2"/>
      <c r="D112" s="2"/>
      <c r="E112" s="2"/>
      <c r="F112" s="2"/>
      <c r="G112" s="2"/>
      <c r="H112" s="1"/>
      <c r="I112" s="2"/>
      <c r="J112" s="6"/>
      <c r="K112" s="6"/>
      <c r="L112" s="6"/>
    </row>
    <row r="113" customFormat="false" ht="14.25" hidden="false" customHeight="false" outlineLevel="0" collapsed="false">
      <c r="A113" s="2"/>
      <c r="B113" s="2"/>
      <c r="C113" s="2"/>
      <c r="D113" s="2"/>
      <c r="E113" s="2"/>
      <c r="F113" s="2"/>
      <c r="G113" s="2"/>
      <c r="H113" s="1"/>
      <c r="I113" s="2"/>
      <c r="J113" s="6"/>
      <c r="K113" s="6"/>
      <c r="L113" s="6"/>
    </row>
    <row r="114" customFormat="false" ht="14.25" hidden="false" customHeight="false" outlineLevel="0" collapsed="false">
      <c r="A114" s="2"/>
      <c r="B114" s="2"/>
      <c r="C114" s="2"/>
      <c r="D114" s="2"/>
      <c r="E114" s="2"/>
      <c r="F114" s="2"/>
      <c r="G114" s="2"/>
      <c r="H114" s="1"/>
      <c r="I114" s="2"/>
      <c r="J114" s="6"/>
      <c r="K114" s="6"/>
      <c r="L114" s="6"/>
    </row>
    <row r="115" customFormat="false" ht="14.25" hidden="false" customHeight="false" outlineLevel="0" collapsed="false">
      <c r="A115" s="2"/>
      <c r="B115" s="2"/>
      <c r="C115" s="2"/>
      <c r="D115" s="2"/>
      <c r="E115" s="2"/>
      <c r="F115" s="2"/>
      <c r="G115" s="2"/>
      <c r="H115" s="1"/>
      <c r="I115" s="2"/>
      <c r="J115" s="6"/>
      <c r="K115" s="6"/>
      <c r="L115" s="6"/>
    </row>
    <row r="116" customFormat="false" ht="14.25" hidden="false" customHeight="false" outlineLevel="0" collapsed="false">
      <c r="A116" s="2"/>
      <c r="B116" s="2"/>
      <c r="C116" s="2"/>
      <c r="D116" s="2"/>
      <c r="E116" s="2"/>
      <c r="F116" s="2"/>
      <c r="G116" s="2"/>
      <c r="H116" s="1"/>
      <c r="I116" s="2"/>
      <c r="J116" s="6"/>
      <c r="K116" s="6"/>
      <c r="L116" s="6"/>
    </row>
    <row r="117" customFormat="false" ht="14.25" hidden="false" customHeight="false" outlineLevel="0" collapsed="false">
      <c r="A117" s="2"/>
      <c r="B117" s="2"/>
      <c r="C117" s="2"/>
      <c r="D117" s="2"/>
      <c r="E117" s="2"/>
      <c r="F117" s="2"/>
      <c r="G117" s="2"/>
      <c r="H117" s="1"/>
      <c r="I117" s="2"/>
      <c r="J117" s="6"/>
      <c r="K117" s="6"/>
      <c r="L117" s="6"/>
    </row>
    <row r="118" customFormat="false" ht="14.25" hidden="false" customHeight="false" outlineLevel="0" collapsed="false">
      <c r="A118" s="2"/>
      <c r="B118" s="2"/>
      <c r="C118" s="2"/>
      <c r="D118" s="2"/>
      <c r="E118" s="2"/>
      <c r="F118" s="2"/>
      <c r="G118" s="2"/>
      <c r="H118" s="1"/>
      <c r="I118" s="2"/>
      <c r="J118" s="6"/>
      <c r="K118" s="6"/>
      <c r="L118" s="6"/>
    </row>
    <row r="119" customFormat="false" ht="14.25" hidden="false" customHeight="false" outlineLevel="0" collapsed="false">
      <c r="A119" s="2"/>
      <c r="B119" s="2"/>
      <c r="C119" s="2"/>
      <c r="D119" s="2"/>
      <c r="E119" s="2"/>
      <c r="F119" s="2"/>
      <c r="G119" s="2"/>
      <c r="H119" s="1"/>
      <c r="I119" s="2"/>
      <c r="J119" s="6"/>
      <c r="K119" s="6"/>
      <c r="L119" s="6"/>
    </row>
    <row r="120" customFormat="false" ht="14.25" hidden="false" customHeight="false" outlineLevel="0" collapsed="false">
      <c r="A120" s="2"/>
      <c r="B120" s="2"/>
      <c r="C120" s="2"/>
      <c r="D120" s="2"/>
      <c r="E120" s="2"/>
      <c r="F120" s="2"/>
      <c r="G120" s="2"/>
      <c r="H120" s="1"/>
      <c r="I120" s="2"/>
      <c r="J120" s="6"/>
      <c r="K120" s="6"/>
      <c r="L120" s="6"/>
    </row>
    <row r="121" customFormat="false" ht="14.25" hidden="false" customHeight="false" outlineLevel="0" collapsed="false">
      <c r="A121" s="2"/>
      <c r="B121" s="2"/>
      <c r="C121" s="2"/>
      <c r="D121" s="2"/>
      <c r="E121" s="2"/>
      <c r="F121" s="2"/>
      <c r="G121" s="2"/>
      <c r="H121" s="1"/>
      <c r="I121" s="2"/>
      <c r="J121" s="6"/>
      <c r="K121" s="6"/>
      <c r="L121" s="6"/>
    </row>
    <row r="122" customFormat="false" ht="14.25" hidden="false" customHeight="false" outlineLevel="0" collapsed="false">
      <c r="A122" s="2"/>
      <c r="B122" s="2"/>
      <c r="C122" s="2"/>
      <c r="D122" s="2"/>
      <c r="E122" s="2"/>
      <c r="F122" s="2"/>
      <c r="G122" s="2"/>
      <c r="H122" s="1"/>
      <c r="I122" s="2"/>
      <c r="J122" s="6"/>
      <c r="K122" s="6"/>
      <c r="L122" s="6"/>
    </row>
    <row r="123" customFormat="false" ht="14.25" hidden="false" customHeight="false" outlineLevel="0" collapsed="false">
      <c r="A123" s="2"/>
      <c r="B123" s="2"/>
      <c r="C123" s="2"/>
      <c r="D123" s="2"/>
      <c r="E123" s="2"/>
      <c r="F123" s="2"/>
      <c r="G123" s="2"/>
      <c r="H123" s="1"/>
      <c r="I123" s="2"/>
      <c r="J123" s="6"/>
      <c r="K123" s="6"/>
      <c r="L123" s="6"/>
    </row>
    <row r="124" customFormat="false" ht="14.25" hidden="false" customHeight="false" outlineLevel="0" collapsed="false">
      <c r="A124" s="2"/>
      <c r="B124" s="2"/>
      <c r="C124" s="2"/>
      <c r="D124" s="2"/>
      <c r="E124" s="2"/>
      <c r="F124" s="2"/>
      <c r="G124" s="2"/>
      <c r="H124" s="1"/>
      <c r="I124" s="2"/>
      <c r="J124" s="6"/>
      <c r="K124" s="6"/>
      <c r="L124" s="6"/>
    </row>
    <row r="125" customFormat="false" ht="14.25" hidden="false" customHeight="false" outlineLevel="0" collapsed="false">
      <c r="A125" s="2"/>
      <c r="B125" s="2"/>
      <c r="C125" s="2"/>
      <c r="D125" s="2"/>
      <c r="E125" s="2"/>
      <c r="F125" s="2"/>
      <c r="G125" s="2"/>
      <c r="H125" s="1"/>
      <c r="I125" s="2"/>
      <c r="J125" s="6"/>
      <c r="K125" s="6"/>
      <c r="L125" s="6"/>
    </row>
    <row r="126" customFormat="false" ht="14.25" hidden="false" customHeight="false" outlineLevel="0" collapsed="false">
      <c r="A126" s="2"/>
      <c r="B126" s="2"/>
      <c r="C126" s="2"/>
      <c r="D126" s="2"/>
      <c r="E126" s="2"/>
      <c r="F126" s="2"/>
      <c r="G126" s="2"/>
      <c r="H126" s="1"/>
      <c r="I126" s="2"/>
      <c r="J126" s="6"/>
      <c r="K126" s="6"/>
      <c r="L126" s="6"/>
    </row>
    <row r="127" customFormat="false" ht="14.25" hidden="false" customHeight="false" outlineLevel="0" collapsed="false">
      <c r="A127" s="2"/>
      <c r="B127" s="2"/>
      <c r="C127" s="2"/>
      <c r="D127" s="2"/>
      <c r="E127" s="2"/>
      <c r="F127" s="2"/>
      <c r="G127" s="2"/>
      <c r="H127" s="1"/>
      <c r="I127" s="2"/>
      <c r="J127" s="6"/>
      <c r="K127" s="6"/>
      <c r="L127" s="6"/>
    </row>
    <row r="128" customFormat="false" ht="14.25" hidden="false" customHeight="false" outlineLevel="0" collapsed="false">
      <c r="A128" s="2"/>
      <c r="B128" s="2"/>
      <c r="C128" s="2"/>
      <c r="D128" s="2"/>
      <c r="E128" s="2"/>
      <c r="F128" s="2"/>
      <c r="G128" s="2"/>
      <c r="H128" s="1"/>
      <c r="I128" s="2"/>
      <c r="J128" s="6"/>
      <c r="K128" s="6"/>
      <c r="L128" s="6"/>
    </row>
    <row r="129" customFormat="false" ht="14.25" hidden="false" customHeight="false" outlineLevel="0" collapsed="false">
      <c r="A129" s="2"/>
      <c r="B129" s="2"/>
      <c r="C129" s="2"/>
      <c r="D129" s="2"/>
      <c r="E129" s="2"/>
      <c r="F129" s="2"/>
      <c r="G129" s="2"/>
      <c r="H129" s="1"/>
      <c r="I129" s="2"/>
      <c r="J129" s="6"/>
      <c r="K129" s="6"/>
      <c r="L129" s="6"/>
    </row>
    <row r="130" customFormat="false" ht="14.25" hidden="false" customHeight="false" outlineLevel="0" collapsed="false">
      <c r="A130" s="2"/>
      <c r="B130" s="2"/>
      <c r="C130" s="2"/>
      <c r="D130" s="2"/>
      <c r="E130" s="2"/>
      <c r="F130" s="2"/>
      <c r="G130" s="2"/>
      <c r="H130" s="1"/>
      <c r="I130" s="2"/>
      <c r="J130" s="6"/>
      <c r="K130" s="6"/>
      <c r="L130" s="6"/>
    </row>
    <row r="131" customFormat="false" ht="14.25" hidden="false" customHeight="false" outlineLevel="0" collapsed="false">
      <c r="A131" s="2"/>
      <c r="B131" s="2"/>
      <c r="C131" s="2"/>
      <c r="D131" s="2"/>
      <c r="E131" s="2"/>
      <c r="F131" s="2"/>
      <c r="G131" s="2"/>
      <c r="H131" s="1"/>
      <c r="I131" s="2"/>
      <c r="J131" s="6"/>
      <c r="K131" s="6"/>
      <c r="L131" s="6"/>
    </row>
    <row r="132" customFormat="false" ht="14.25" hidden="false" customHeight="false" outlineLevel="0" collapsed="false">
      <c r="A132" s="2"/>
      <c r="B132" s="2"/>
      <c r="C132" s="2"/>
      <c r="D132" s="2"/>
      <c r="E132" s="2"/>
      <c r="F132" s="2"/>
      <c r="G132" s="2"/>
      <c r="H132" s="1"/>
      <c r="I132" s="2"/>
      <c r="J132" s="6"/>
      <c r="K132" s="6"/>
      <c r="L132" s="6"/>
    </row>
    <row r="133" customFormat="false" ht="14.25" hidden="false" customHeight="false" outlineLevel="0" collapsed="false">
      <c r="A133" s="2"/>
      <c r="B133" s="2"/>
      <c r="C133" s="2"/>
      <c r="D133" s="2"/>
      <c r="E133" s="2"/>
      <c r="F133" s="2"/>
      <c r="G133" s="2"/>
      <c r="H133" s="1"/>
      <c r="I133" s="2"/>
      <c r="J133" s="6"/>
      <c r="K133" s="6"/>
      <c r="L133" s="6"/>
    </row>
    <row r="134" customFormat="false" ht="14.25" hidden="false" customHeight="false" outlineLevel="0" collapsed="false">
      <c r="A134" s="2"/>
      <c r="B134" s="2"/>
      <c r="C134" s="2"/>
      <c r="D134" s="2"/>
      <c r="E134" s="2"/>
      <c r="F134" s="2"/>
      <c r="G134" s="2"/>
      <c r="H134" s="1"/>
      <c r="I134" s="2"/>
      <c r="J134" s="6"/>
      <c r="K134" s="6"/>
      <c r="L134" s="6"/>
    </row>
    <row r="135" customFormat="false" ht="14.25" hidden="false" customHeight="false" outlineLevel="0" collapsed="false">
      <c r="A135" s="2"/>
      <c r="B135" s="2"/>
      <c r="C135" s="2"/>
      <c r="D135" s="2"/>
      <c r="E135" s="2"/>
      <c r="F135" s="2"/>
      <c r="G135" s="2"/>
      <c r="H135" s="1"/>
      <c r="I135" s="2"/>
      <c r="J135" s="6"/>
      <c r="K135" s="6"/>
      <c r="L135" s="6"/>
    </row>
    <row r="136" customFormat="false" ht="14.25" hidden="false" customHeight="false" outlineLevel="0" collapsed="false">
      <c r="A136" s="2"/>
      <c r="B136" s="2"/>
      <c r="C136" s="2"/>
      <c r="D136" s="2"/>
      <c r="E136" s="2"/>
      <c r="F136" s="2"/>
      <c r="G136" s="2"/>
      <c r="H136" s="1"/>
      <c r="I136" s="2"/>
      <c r="J136" s="6"/>
      <c r="K136" s="6"/>
      <c r="L136" s="6"/>
    </row>
    <row r="137" customFormat="false" ht="14.25" hidden="false" customHeight="false" outlineLevel="0" collapsed="false">
      <c r="A137" s="2"/>
      <c r="B137" s="2"/>
      <c r="C137" s="2"/>
      <c r="D137" s="2"/>
      <c r="E137" s="2"/>
      <c r="F137" s="2"/>
      <c r="G137" s="2"/>
      <c r="H137" s="1"/>
      <c r="I137" s="2"/>
      <c r="J137" s="6"/>
      <c r="K137" s="6"/>
      <c r="L137" s="6"/>
    </row>
    <row r="138" customFormat="false" ht="14.25" hidden="false" customHeight="false" outlineLevel="0" collapsed="false">
      <c r="A138" s="2"/>
      <c r="B138" s="2"/>
      <c r="C138" s="2"/>
      <c r="D138" s="2"/>
      <c r="E138" s="2"/>
      <c r="F138" s="2"/>
      <c r="G138" s="2"/>
      <c r="H138" s="1"/>
      <c r="I138" s="2"/>
      <c r="J138" s="6"/>
      <c r="K138" s="6"/>
      <c r="L138" s="6"/>
    </row>
    <row r="139" customFormat="false" ht="14.25" hidden="false" customHeight="false" outlineLevel="0" collapsed="false">
      <c r="A139" s="2"/>
      <c r="B139" s="2"/>
      <c r="C139" s="2"/>
      <c r="D139" s="2"/>
      <c r="E139" s="2"/>
      <c r="F139" s="2"/>
      <c r="G139" s="2"/>
      <c r="H139" s="1"/>
      <c r="I139" s="2"/>
      <c r="J139" s="6"/>
      <c r="K139" s="6"/>
      <c r="L139" s="6"/>
    </row>
    <row r="140" customFormat="false" ht="14.25" hidden="false" customHeight="false" outlineLevel="0" collapsed="false">
      <c r="A140" s="2"/>
      <c r="B140" s="2"/>
      <c r="C140" s="2"/>
      <c r="D140" s="2"/>
      <c r="E140" s="2"/>
      <c r="F140" s="2"/>
      <c r="G140" s="2"/>
      <c r="H140" s="1"/>
      <c r="I140" s="2"/>
      <c r="J140" s="6"/>
      <c r="K140" s="6"/>
      <c r="L140" s="6"/>
    </row>
    <row r="141" customFormat="false" ht="14.25" hidden="false" customHeight="false" outlineLevel="0" collapsed="false">
      <c r="A141" s="2"/>
      <c r="B141" s="2"/>
      <c r="C141" s="2"/>
      <c r="D141" s="2"/>
      <c r="E141" s="2"/>
      <c r="F141" s="2"/>
      <c r="G141" s="2"/>
      <c r="H141" s="1"/>
      <c r="I141" s="2"/>
      <c r="J141" s="6"/>
      <c r="K141" s="6"/>
      <c r="L141" s="6"/>
    </row>
    <row r="142" customFormat="false" ht="14.25" hidden="false" customHeight="false" outlineLevel="0" collapsed="false">
      <c r="A142" s="2"/>
      <c r="B142" s="2"/>
      <c r="C142" s="2"/>
      <c r="D142" s="2"/>
      <c r="E142" s="2"/>
      <c r="F142" s="2"/>
      <c r="G142" s="2"/>
      <c r="H142" s="1"/>
      <c r="I142" s="2"/>
      <c r="J142" s="6"/>
      <c r="K142" s="6"/>
      <c r="L142" s="6"/>
    </row>
    <row r="143" customFormat="false" ht="14.25" hidden="false" customHeight="false" outlineLevel="0" collapsed="false">
      <c r="A143" s="2"/>
      <c r="B143" s="2"/>
      <c r="C143" s="2"/>
      <c r="D143" s="2"/>
      <c r="E143" s="2"/>
      <c r="F143" s="2"/>
      <c r="G143" s="2"/>
      <c r="H143" s="1"/>
      <c r="I143" s="2"/>
      <c r="J143" s="6"/>
      <c r="K143" s="6"/>
      <c r="L143" s="6"/>
    </row>
    <row r="144" customFormat="false" ht="14.25" hidden="false" customHeight="false" outlineLevel="0" collapsed="false">
      <c r="A144" s="2"/>
      <c r="B144" s="2"/>
      <c r="C144" s="2"/>
      <c r="D144" s="2"/>
      <c r="E144" s="2"/>
      <c r="F144" s="2"/>
      <c r="G144" s="2"/>
      <c r="H144" s="1"/>
      <c r="I144" s="2"/>
      <c r="J144" s="6"/>
      <c r="K144" s="6"/>
      <c r="L144" s="6"/>
    </row>
    <row r="145" customFormat="false" ht="14.25" hidden="false" customHeight="false" outlineLevel="0" collapsed="false">
      <c r="A145" s="2"/>
      <c r="B145" s="2"/>
      <c r="C145" s="2"/>
      <c r="D145" s="2"/>
      <c r="E145" s="2"/>
      <c r="F145" s="2"/>
      <c r="G145" s="2"/>
      <c r="H145" s="1"/>
      <c r="I145" s="2"/>
      <c r="J145" s="6"/>
      <c r="K145" s="6"/>
      <c r="L145" s="6"/>
    </row>
    <row r="146" customFormat="false" ht="14.25" hidden="false" customHeight="false" outlineLevel="0" collapsed="false">
      <c r="A146" s="2"/>
      <c r="B146" s="2"/>
      <c r="C146" s="2"/>
      <c r="D146" s="2"/>
      <c r="E146" s="2"/>
      <c r="F146" s="2"/>
      <c r="G146" s="2"/>
      <c r="H146" s="1"/>
      <c r="I146" s="2"/>
      <c r="J146" s="6"/>
      <c r="K146" s="6"/>
      <c r="L146" s="6"/>
    </row>
    <row r="147" customFormat="false" ht="14.25" hidden="false" customHeight="false" outlineLevel="0" collapsed="false">
      <c r="A147" s="2"/>
      <c r="B147" s="2"/>
      <c r="C147" s="2"/>
      <c r="D147" s="2"/>
      <c r="E147" s="2"/>
      <c r="F147" s="2"/>
      <c r="G147" s="2"/>
      <c r="H147" s="1"/>
      <c r="I147" s="2"/>
      <c r="J147" s="6"/>
      <c r="K147" s="6"/>
      <c r="L147" s="6"/>
    </row>
    <row r="148" customFormat="false" ht="14.25" hidden="false" customHeight="false" outlineLevel="0" collapsed="false">
      <c r="A148" s="2"/>
      <c r="B148" s="2"/>
      <c r="C148" s="2"/>
      <c r="D148" s="2"/>
      <c r="E148" s="2"/>
      <c r="F148" s="2"/>
      <c r="G148" s="2"/>
      <c r="H148" s="1"/>
      <c r="I148" s="2"/>
      <c r="J148" s="6"/>
      <c r="K148" s="6"/>
      <c r="L148" s="6"/>
    </row>
    <row r="149" customFormat="false" ht="14.25" hidden="false" customHeight="false" outlineLevel="0" collapsed="false">
      <c r="A149" s="2"/>
      <c r="B149" s="2"/>
      <c r="C149" s="2"/>
      <c r="D149" s="2"/>
      <c r="E149" s="2"/>
      <c r="F149" s="2"/>
      <c r="G149" s="2"/>
      <c r="H149" s="1"/>
      <c r="I149" s="2"/>
      <c r="J149" s="6"/>
      <c r="K149" s="6"/>
      <c r="L149" s="6"/>
    </row>
    <row r="150" customFormat="false" ht="14.25" hidden="false" customHeight="false" outlineLevel="0" collapsed="false">
      <c r="A150" s="2"/>
      <c r="B150" s="2"/>
      <c r="C150" s="2"/>
      <c r="D150" s="2"/>
      <c r="E150" s="2"/>
      <c r="F150" s="2"/>
      <c r="G150" s="2"/>
      <c r="H150" s="1"/>
      <c r="I150" s="2"/>
      <c r="J150" s="6"/>
      <c r="K150" s="6"/>
      <c r="L150" s="6"/>
    </row>
    <row r="151" customFormat="false" ht="14.25" hidden="false" customHeight="false" outlineLevel="0" collapsed="false">
      <c r="A151" s="2"/>
      <c r="B151" s="2"/>
      <c r="C151" s="2"/>
      <c r="D151" s="2"/>
      <c r="E151" s="2"/>
      <c r="F151" s="2"/>
      <c r="G151" s="2"/>
      <c r="H151" s="1"/>
      <c r="I151" s="2"/>
      <c r="J151" s="6"/>
      <c r="K151" s="6"/>
      <c r="L151" s="6"/>
    </row>
    <row r="152" customFormat="false" ht="14.25" hidden="false" customHeight="false" outlineLevel="0" collapsed="false">
      <c r="A152" s="2"/>
      <c r="B152" s="2"/>
      <c r="C152" s="2"/>
      <c r="D152" s="2"/>
      <c r="E152" s="2"/>
      <c r="F152" s="2"/>
      <c r="G152" s="2"/>
      <c r="H152" s="1"/>
      <c r="I152" s="2"/>
      <c r="J152" s="6"/>
      <c r="K152" s="6"/>
      <c r="L152" s="6"/>
    </row>
    <row r="153" customFormat="false" ht="14.25" hidden="false" customHeight="false" outlineLevel="0" collapsed="false">
      <c r="A153" s="2"/>
      <c r="B153" s="2"/>
      <c r="C153" s="2"/>
      <c r="D153" s="2"/>
      <c r="E153" s="2"/>
      <c r="F153" s="2"/>
      <c r="G153" s="2"/>
      <c r="H153" s="1"/>
      <c r="I153" s="2"/>
      <c r="J153" s="6"/>
      <c r="K153" s="6"/>
      <c r="L153" s="6"/>
    </row>
    <row r="154" customFormat="false" ht="14.25" hidden="false" customHeight="false" outlineLevel="0" collapsed="false">
      <c r="A154" s="2"/>
      <c r="B154" s="2"/>
      <c r="C154" s="2"/>
      <c r="D154" s="2"/>
      <c r="E154" s="2"/>
      <c r="F154" s="2"/>
      <c r="G154" s="2"/>
      <c r="H154" s="1"/>
      <c r="I154" s="2"/>
      <c r="J154" s="6"/>
      <c r="K154" s="6"/>
      <c r="L154" s="6"/>
    </row>
    <row r="155" customFormat="false" ht="14.25" hidden="false" customHeight="false" outlineLevel="0" collapsed="false">
      <c r="A155" s="2"/>
      <c r="B155" s="2"/>
      <c r="C155" s="2"/>
      <c r="D155" s="2"/>
      <c r="E155" s="2"/>
      <c r="F155" s="2"/>
      <c r="G155" s="2"/>
      <c r="H155" s="1"/>
      <c r="I155" s="2"/>
      <c r="J155" s="6"/>
      <c r="K155" s="6"/>
      <c r="L155" s="6"/>
    </row>
    <row r="156" customFormat="false" ht="14.25" hidden="false" customHeight="false" outlineLevel="0" collapsed="false">
      <c r="A156" s="2"/>
      <c r="B156" s="2"/>
      <c r="C156" s="2"/>
      <c r="D156" s="2"/>
      <c r="E156" s="2"/>
      <c r="F156" s="2"/>
      <c r="G156" s="2"/>
      <c r="H156" s="1"/>
      <c r="I156" s="2"/>
      <c r="J156" s="6"/>
      <c r="K156" s="6"/>
      <c r="L156" s="6"/>
    </row>
    <row r="157" customFormat="false" ht="14.25" hidden="false" customHeight="false" outlineLevel="0" collapsed="false">
      <c r="A157" s="2"/>
      <c r="B157" s="2"/>
      <c r="C157" s="2"/>
      <c r="D157" s="2"/>
      <c r="E157" s="2"/>
      <c r="F157" s="2"/>
      <c r="G157" s="2"/>
      <c r="H157" s="1"/>
      <c r="I157" s="2"/>
      <c r="J157" s="6"/>
      <c r="K157" s="6"/>
      <c r="L157" s="6"/>
    </row>
    <row r="158" customFormat="false" ht="14.25" hidden="false" customHeight="false" outlineLevel="0" collapsed="false">
      <c r="A158" s="2"/>
      <c r="B158" s="2"/>
      <c r="C158" s="2"/>
      <c r="D158" s="2"/>
      <c r="E158" s="2"/>
      <c r="F158" s="2"/>
      <c r="G158" s="2"/>
      <c r="H158" s="1"/>
      <c r="I158" s="2"/>
      <c r="J158" s="6"/>
      <c r="K158" s="6"/>
      <c r="L158" s="6"/>
    </row>
    <row r="159" customFormat="false" ht="14.25" hidden="false" customHeight="false" outlineLevel="0" collapsed="false">
      <c r="A159" s="2"/>
      <c r="B159" s="2"/>
      <c r="C159" s="2"/>
      <c r="D159" s="2"/>
      <c r="E159" s="2"/>
      <c r="F159" s="2"/>
      <c r="G159" s="2"/>
      <c r="H159" s="1"/>
      <c r="I159" s="2"/>
      <c r="J159" s="6"/>
      <c r="K159" s="6"/>
      <c r="L159" s="6"/>
    </row>
    <row r="160" customFormat="false" ht="14.25" hidden="false" customHeight="false" outlineLevel="0" collapsed="false">
      <c r="A160" s="2"/>
      <c r="B160" s="2"/>
      <c r="C160" s="2"/>
      <c r="D160" s="2"/>
      <c r="E160" s="2"/>
      <c r="F160" s="2"/>
      <c r="G160" s="2"/>
      <c r="H160" s="1"/>
      <c r="I160" s="2"/>
      <c r="J160" s="6"/>
      <c r="K160" s="6"/>
      <c r="L160" s="6"/>
    </row>
    <row r="161" customFormat="false" ht="14.25" hidden="false" customHeight="false" outlineLevel="0" collapsed="false">
      <c r="A161" s="2"/>
      <c r="B161" s="2"/>
      <c r="C161" s="2"/>
      <c r="D161" s="2"/>
      <c r="E161" s="2"/>
      <c r="F161" s="2"/>
      <c r="G161" s="2"/>
      <c r="H161" s="1"/>
      <c r="I161" s="2"/>
      <c r="J161" s="6"/>
      <c r="K161" s="6"/>
      <c r="L161" s="6"/>
    </row>
    <row r="162" customFormat="false" ht="14.25" hidden="false" customHeight="false" outlineLevel="0" collapsed="false">
      <c r="A162" s="2"/>
      <c r="B162" s="2"/>
      <c r="C162" s="2"/>
      <c r="D162" s="2"/>
      <c r="E162" s="2"/>
      <c r="F162" s="2"/>
      <c r="G162" s="2"/>
      <c r="H162" s="1"/>
      <c r="I162" s="2"/>
      <c r="J162" s="6"/>
      <c r="K162" s="6"/>
      <c r="L162" s="6"/>
    </row>
    <row r="163" customFormat="false" ht="14.25" hidden="false" customHeight="false" outlineLevel="0" collapsed="false">
      <c r="A163" s="2"/>
      <c r="B163" s="2"/>
      <c r="C163" s="2"/>
      <c r="D163" s="2"/>
      <c r="E163" s="2"/>
      <c r="F163" s="2"/>
      <c r="G163" s="2"/>
      <c r="H163" s="1"/>
      <c r="I163" s="2"/>
      <c r="J163" s="6"/>
      <c r="K163" s="6"/>
      <c r="L163" s="6"/>
    </row>
    <row r="164" customFormat="false" ht="14.25" hidden="false" customHeight="false" outlineLevel="0" collapsed="false">
      <c r="A164" s="2"/>
      <c r="B164" s="2"/>
      <c r="C164" s="2"/>
      <c r="D164" s="2"/>
      <c r="E164" s="2"/>
      <c r="F164" s="2"/>
      <c r="G164" s="2"/>
      <c r="H164" s="1"/>
      <c r="I164" s="2"/>
      <c r="J164" s="6"/>
      <c r="K164" s="6"/>
      <c r="L164" s="6"/>
    </row>
    <row r="165" customFormat="false" ht="14.25" hidden="false" customHeight="false" outlineLevel="0" collapsed="false">
      <c r="A165" s="2"/>
      <c r="B165" s="2"/>
      <c r="C165" s="2"/>
      <c r="D165" s="2"/>
      <c r="E165" s="2"/>
      <c r="F165" s="2"/>
      <c r="G165" s="2"/>
      <c r="H165" s="1"/>
      <c r="I165" s="2"/>
      <c r="J165" s="6"/>
      <c r="K165" s="6"/>
      <c r="L165" s="6"/>
    </row>
    <row r="166" customFormat="false" ht="14.25" hidden="false" customHeight="false" outlineLevel="0" collapsed="false">
      <c r="A166" s="2"/>
      <c r="B166" s="2"/>
      <c r="C166" s="2"/>
      <c r="D166" s="2"/>
      <c r="E166" s="2"/>
      <c r="F166" s="2"/>
      <c r="G166" s="2"/>
      <c r="H166" s="1"/>
      <c r="I166" s="2"/>
      <c r="J166" s="6"/>
      <c r="K166" s="6"/>
      <c r="L166" s="6"/>
    </row>
    <row r="167" customFormat="false" ht="14.25" hidden="false" customHeight="false" outlineLevel="0" collapsed="false">
      <c r="A167" s="2"/>
      <c r="B167" s="2"/>
      <c r="C167" s="2"/>
      <c r="D167" s="2"/>
      <c r="E167" s="2"/>
      <c r="F167" s="2"/>
      <c r="G167" s="2"/>
      <c r="H167" s="1"/>
      <c r="I167" s="2"/>
      <c r="J167" s="6"/>
      <c r="K167" s="6"/>
      <c r="L167" s="6"/>
    </row>
    <row r="168" customFormat="false" ht="14.25" hidden="false" customHeight="false" outlineLevel="0" collapsed="false">
      <c r="A168" s="2"/>
      <c r="B168" s="2"/>
      <c r="C168" s="2"/>
      <c r="D168" s="2"/>
      <c r="E168" s="2"/>
      <c r="F168" s="2"/>
      <c r="G168" s="2"/>
      <c r="H168" s="1"/>
      <c r="I168" s="2"/>
      <c r="J168" s="6"/>
      <c r="K168" s="6"/>
      <c r="L168" s="6"/>
    </row>
    <row r="169" customFormat="false" ht="14.25" hidden="false" customHeight="false" outlineLevel="0" collapsed="false">
      <c r="A169" s="2"/>
      <c r="B169" s="2"/>
      <c r="C169" s="2"/>
      <c r="D169" s="2"/>
      <c r="E169" s="2"/>
      <c r="F169" s="2"/>
      <c r="G169" s="2"/>
      <c r="H169" s="1"/>
      <c r="I169" s="2"/>
      <c r="J169" s="6"/>
      <c r="K169" s="6"/>
      <c r="L169" s="6"/>
    </row>
    <row r="170" customFormat="false" ht="14.25" hidden="false" customHeight="false" outlineLevel="0" collapsed="false">
      <c r="A170" s="2"/>
      <c r="B170" s="2"/>
      <c r="C170" s="2"/>
      <c r="D170" s="2"/>
      <c r="E170" s="2"/>
      <c r="F170" s="2"/>
      <c r="G170" s="2"/>
      <c r="H170" s="1"/>
      <c r="I170" s="2"/>
      <c r="J170" s="6"/>
      <c r="K170" s="6"/>
      <c r="L170" s="6"/>
    </row>
    <row r="171" customFormat="false" ht="14.25" hidden="false" customHeight="false" outlineLevel="0" collapsed="false">
      <c r="A171" s="2"/>
      <c r="B171" s="2"/>
      <c r="C171" s="2"/>
      <c r="D171" s="2"/>
      <c r="E171" s="2"/>
      <c r="F171" s="2"/>
      <c r="G171" s="2"/>
      <c r="H171" s="1"/>
      <c r="I171" s="2"/>
      <c r="J171" s="6"/>
      <c r="K171" s="6"/>
      <c r="L171" s="6"/>
    </row>
    <row r="172" customFormat="false" ht="14.25" hidden="false" customHeight="false" outlineLevel="0" collapsed="false">
      <c r="A172" s="1"/>
      <c r="B172" s="1"/>
      <c r="C172" s="7"/>
      <c r="D172" s="1"/>
      <c r="E172" s="1"/>
      <c r="F172" s="8"/>
      <c r="G172" s="1"/>
      <c r="H172" s="7"/>
      <c r="I172" s="8"/>
      <c r="J172" s="9"/>
      <c r="K172" s="9"/>
      <c r="L172" s="9"/>
    </row>
    <row r="173" customFormat="false" ht="14.25" hidden="false" customHeight="false" outlineLevel="0" collapsed="false">
      <c r="A173" s="0"/>
      <c r="B173" s="0"/>
    </row>
    <row r="174" customFormat="false" ht="14.25" hidden="false" customHeight="false" outlineLevel="0" collapsed="false">
      <c r="A174" s="0"/>
      <c r="B174" s="0"/>
    </row>
    <row r="175" customFormat="false" ht="14.25" hidden="false" customHeight="false" outlineLevel="0" collapsed="false">
      <c r="A175" s="0"/>
      <c r="B175" s="0"/>
    </row>
    <row r="176" customFormat="false" ht="14.25" hidden="false" customHeight="false" outlineLevel="0" collapsed="false">
      <c r="A176" s="0"/>
      <c r="B176" s="0"/>
    </row>
    <row r="177" customFormat="false" ht="14.25" hidden="false" customHeight="false" outlineLevel="0" collapsed="false">
      <c r="A177" s="0"/>
      <c r="B177" s="0"/>
    </row>
    <row r="178" customFormat="false" ht="14.25" hidden="false" customHeight="false" outlineLevel="0" collapsed="false">
      <c r="A178" s="0"/>
      <c r="B178" s="0"/>
    </row>
    <row r="179" customFormat="false" ht="14.25" hidden="false" customHeight="false" outlineLevel="0" collapsed="false">
      <c r="A179" s="0"/>
      <c r="B179" s="0"/>
    </row>
    <row r="180" customFormat="false" ht="14.25" hidden="false" customHeight="false" outlineLevel="0" collapsed="false">
      <c r="A180" s="0"/>
      <c r="B180" s="0"/>
    </row>
    <row r="181" customFormat="false" ht="14.25" hidden="false" customHeight="false" outlineLevel="0" collapsed="false">
      <c r="A181" s="0"/>
      <c r="B181" s="0"/>
    </row>
    <row r="182" customFormat="false" ht="14.25" hidden="false" customHeight="false" outlineLevel="0" collapsed="false">
      <c r="A182" s="0"/>
      <c r="B182" s="0"/>
    </row>
    <row r="183" customFormat="false" ht="14.25" hidden="false" customHeight="false" outlineLevel="0" collapsed="false">
      <c r="A183" s="0"/>
      <c r="B183" s="0"/>
    </row>
    <row r="184" customFormat="false" ht="14.25" hidden="false" customHeight="false" outlineLevel="0" collapsed="false">
      <c r="A184" s="0"/>
      <c r="B184" s="0"/>
    </row>
    <row r="185" customFormat="false" ht="14.25" hidden="false" customHeight="false" outlineLevel="0" collapsed="false">
      <c r="A185" s="0"/>
      <c r="B185" s="0"/>
    </row>
    <row r="186" customFormat="false" ht="14.25" hidden="false" customHeight="false" outlineLevel="0" collapsed="false">
      <c r="A186" s="0"/>
      <c r="B186" s="0"/>
    </row>
    <row r="187" customFormat="false" ht="14.25" hidden="false" customHeight="false" outlineLevel="0" collapsed="false">
      <c r="A187" s="0"/>
      <c r="B187" s="0"/>
    </row>
    <row r="188" customFormat="false" ht="14.25" hidden="false" customHeight="false" outlineLevel="0" collapsed="false">
      <c r="A188" s="0"/>
      <c r="B188" s="0"/>
    </row>
    <row r="189" customFormat="false" ht="14.25" hidden="false" customHeight="false" outlineLevel="0" collapsed="false">
      <c r="A189" s="0"/>
      <c r="B189" s="0"/>
    </row>
    <row r="190" customFormat="false" ht="14.25" hidden="false" customHeight="false" outlineLevel="0" collapsed="false">
      <c r="A190" s="0"/>
      <c r="B190" s="0"/>
    </row>
    <row r="191" customFormat="false" ht="14.25" hidden="false" customHeight="false" outlineLevel="0" collapsed="false">
      <c r="A191" s="0"/>
      <c r="B191" s="0"/>
    </row>
    <row r="192" customFormat="false" ht="14.25" hidden="false" customHeight="false" outlineLevel="0" collapsed="false">
      <c r="A192" s="0"/>
      <c r="B192" s="0"/>
    </row>
    <row r="193" customFormat="false" ht="14.25" hidden="false" customHeight="false" outlineLevel="0" collapsed="false">
      <c r="A193" s="0"/>
      <c r="B193" s="0"/>
    </row>
    <row r="194" customFormat="false" ht="14.25" hidden="false" customHeight="false" outlineLevel="0" collapsed="false">
      <c r="A194" s="0"/>
      <c r="B194" s="0"/>
    </row>
    <row r="195" customFormat="false" ht="14.25" hidden="false" customHeight="false" outlineLevel="0" collapsed="false">
      <c r="A195" s="0"/>
      <c r="B195" s="0"/>
    </row>
    <row r="196" customFormat="false" ht="14.25" hidden="false" customHeight="false" outlineLevel="0" collapsed="false">
      <c r="A196" s="0"/>
      <c r="B196" s="0"/>
    </row>
    <row r="197" customFormat="false" ht="14.25" hidden="false" customHeight="false" outlineLevel="0" collapsed="false">
      <c r="A197" s="0"/>
      <c r="B197" s="0"/>
    </row>
    <row r="198" customFormat="false" ht="14.25" hidden="false" customHeight="false" outlineLevel="0" collapsed="false">
      <c r="A198" s="0"/>
      <c r="B198" s="0"/>
    </row>
    <row r="199" customFormat="false" ht="14.25" hidden="false" customHeight="false" outlineLevel="0" collapsed="false">
      <c r="A199" s="0"/>
      <c r="B199" s="0"/>
    </row>
    <row r="200" customFormat="false" ht="14.25" hidden="false" customHeight="false" outlineLevel="0" collapsed="false">
      <c r="A200" s="0"/>
      <c r="B200" s="0"/>
    </row>
    <row r="201" customFormat="false" ht="14.25" hidden="false" customHeight="false" outlineLevel="0" collapsed="false">
      <c r="A201" s="0"/>
      <c r="B201" s="0"/>
    </row>
    <row r="202" customFormat="false" ht="14.25" hidden="false" customHeight="false" outlineLevel="0" collapsed="false">
      <c r="A202" s="0"/>
      <c r="B202" s="0"/>
    </row>
    <row r="203" customFormat="false" ht="14.25" hidden="false" customHeight="false" outlineLevel="0" collapsed="false">
      <c r="A203" s="0"/>
      <c r="B203" s="0"/>
    </row>
    <row r="204" customFormat="false" ht="14.25" hidden="false" customHeight="false" outlineLevel="0" collapsed="false">
      <c r="A204" s="0"/>
      <c r="B204" s="0"/>
    </row>
    <row r="205" customFormat="false" ht="14.25" hidden="false" customHeight="false" outlineLevel="0" collapsed="false">
      <c r="A205" s="0"/>
      <c r="B205" s="0"/>
    </row>
    <row r="206" customFormat="false" ht="14.25" hidden="false" customHeight="false" outlineLevel="0" collapsed="false">
      <c r="A206" s="0"/>
      <c r="B206" s="0"/>
    </row>
    <row r="207" customFormat="false" ht="14.25" hidden="false" customHeight="false" outlineLevel="0" collapsed="false">
      <c r="A207" s="0"/>
      <c r="B207" s="0"/>
    </row>
    <row r="208" customFormat="false" ht="14.25" hidden="false" customHeight="false" outlineLevel="0" collapsed="false">
      <c r="A208" s="0"/>
      <c r="B208" s="0"/>
    </row>
    <row r="209" customFormat="false" ht="14.25" hidden="false" customHeight="false" outlineLevel="0" collapsed="false">
      <c r="A209" s="0"/>
      <c r="B209" s="0"/>
    </row>
    <row r="210" customFormat="false" ht="14.25" hidden="false" customHeight="false" outlineLevel="0" collapsed="false">
      <c r="A210" s="0"/>
      <c r="B210" s="0"/>
    </row>
    <row r="211" customFormat="false" ht="14.25" hidden="false" customHeight="false" outlineLevel="0" collapsed="false">
      <c r="A211" s="0"/>
      <c r="B211" s="0"/>
    </row>
    <row r="212" customFormat="false" ht="14.25" hidden="false" customHeight="false" outlineLevel="0" collapsed="false">
      <c r="A212" s="0"/>
      <c r="B212" s="0"/>
    </row>
    <row r="213" customFormat="false" ht="14.25" hidden="false" customHeight="false" outlineLevel="0" collapsed="false">
      <c r="A213" s="0"/>
      <c r="B213" s="0"/>
    </row>
    <row r="214" customFormat="false" ht="14.25" hidden="false" customHeight="false" outlineLevel="0" collapsed="false">
      <c r="A214" s="0"/>
      <c r="B214" s="0"/>
    </row>
    <row r="215" customFormat="false" ht="14.25" hidden="false" customHeight="false" outlineLevel="0" collapsed="false">
      <c r="A215" s="0"/>
      <c r="B215" s="0"/>
    </row>
    <row r="216" customFormat="false" ht="14.25" hidden="false" customHeight="false" outlineLevel="0" collapsed="false">
      <c r="A216" s="0"/>
      <c r="B216" s="0"/>
    </row>
    <row r="217" customFormat="false" ht="14.25" hidden="false" customHeight="false" outlineLevel="0" collapsed="false">
      <c r="A217" s="0"/>
      <c r="B217" s="0"/>
    </row>
    <row r="218" customFormat="false" ht="14.25" hidden="false" customHeight="false" outlineLevel="0" collapsed="false">
      <c r="A218" s="0"/>
      <c r="B218" s="0"/>
    </row>
    <row r="219" customFormat="false" ht="14.25" hidden="false" customHeight="false" outlineLevel="0" collapsed="false">
      <c r="A219" s="0"/>
      <c r="B219" s="0"/>
    </row>
    <row r="220" customFormat="false" ht="14.25" hidden="false" customHeight="false" outlineLevel="0" collapsed="false">
      <c r="A220" s="0"/>
      <c r="B220" s="0"/>
    </row>
    <row r="221" customFormat="false" ht="14.25" hidden="false" customHeight="false" outlineLevel="0" collapsed="false">
      <c r="A221" s="0"/>
      <c r="B221" s="0"/>
    </row>
    <row r="222" customFormat="false" ht="14.25" hidden="false" customHeight="false" outlineLevel="0" collapsed="false">
      <c r="A222" s="0"/>
      <c r="B222" s="0"/>
    </row>
    <row r="223" customFormat="false" ht="14.25" hidden="false" customHeight="false" outlineLevel="0" collapsed="false">
      <c r="A223" s="0"/>
      <c r="B223" s="0"/>
    </row>
    <row r="224" customFormat="false" ht="14.25" hidden="false" customHeight="false" outlineLevel="0" collapsed="false">
      <c r="A224" s="0"/>
      <c r="B224" s="0"/>
    </row>
    <row r="225" customFormat="false" ht="14.25" hidden="false" customHeight="false" outlineLevel="0" collapsed="false">
      <c r="A225" s="0"/>
      <c r="B225" s="0"/>
    </row>
    <row r="226" customFormat="false" ht="14.25" hidden="false" customHeight="false" outlineLevel="0" collapsed="false">
      <c r="A226" s="0"/>
      <c r="B226" s="0"/>
    </row>
    <row r="227" customFormat="false" ht="14.25" hidden="false" customHeight="false" outlineLevel="0" collapsed="false">
      <c r="A227" s="0"/>
      <c r="B227" s="0"/>
    </row>
    <row r="228" customFormat="false" ht="14.25" hidden="false" customHeight="false" outlineLevel="0" collapsed="false">
      <c r="A228" s="0"/>
      <c r="B228" s="0"/>
    </row>
    <row r="229" customFormat="false" ht="14.25" hidden="false" customHeight="false" outlineLevel="0" collapsed="false">
      <c r="A229" s="0"/>
      <c r="B229" s="0"/>
    </row>
    <row r="230" customFormat="false" ht="14.25" hidden="false" customHeight="false" outlineLevel="0" collapsed="false">
      <c r="A230" s="0"/>
      <c r="B230" s="0"/>
    </row>
    <row r="231" customFormat="false" ht="14.25" hidden="false" customHeight="false" outlineLevel="0" collapsed="false">
      <c r="A231" s="0"/>
      <c r="B231" s="0"/>
    </row>
  </sheetData>
  <mergeCells count="2">
    <mergeCell ref="A100:F100"/>
    <mergeCell ref="I101:L10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N5" activeCellId="0" sqref="N5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4" t="s">
        <v>0</v>
      </c>
      <c r="B1" s="4"/>
      <c r="C1" s="4"/>
      <c r="D1" s="4"/>
      <c r="E1" s="4"/>
      <c r="F1" s="4"/>
      <c r="G1" s="1"/>
      <c r="H1" s="2"/>
      <c r="I1" s="3"/>
      <c r="J1" s="3"/>
      <c r="K1" s="3"/>
      <c r="L1" s="3"/>
      <c r="M1" s="1"/>
    </row>
    <row r="2" customFormat="false" ht="13.8" hidden="false" customHeight="false" outlineLevel="0" collapsed="false">
      <c r="A2" s="2" t="n">
        <v>0.7</v>
      </c>
      <c r="B2" s="2" t="n">
        <v>0.7</v>
      </c>
      <c r="C2" s="2" t="n">
        <v>0.7</v>
      </c>
      <c r="D2" s="2" t="n">
        <v>0.7</v>
      </c>
      <c r="E2" s="2" t="n">
        <v>0.7</v>
      </c>
      <c r="F2" s="2" t="n">
        <v>0.7</v>
      </c>
      <c r="G2" s="2" t="n">
        <v>1</v>
      </c>
      <c r="H2" s="1"/>
      <c r="I2" s="5" t="s">
        <v>1</v>
      </c>
      <c r="J2" s="5"/>
      <c r="K2" s="5"/>
      <c r="L2" s="5"/>
      <c r="M2" s="1"/>
      <c r="N2" s="17" t="s">
        <v>22</v>
      </c>
    </row>
    <row r="3" customFormat="false" ht="13.8" hidden="false" customHeight="false" outlineLevel="0" collapsed="false">
      <c r="A3" s="2" t="n">
        <v>1</v>
      </c>
      <c r="B3" s="2" t="n">
        <v>2</v>
      </c>
      <c r="C3" s="2" t="n">
        <v>3</v>
      </c>
      <c r="D3" s="2" t="n">
        <v>4</v>
      </c>
      <c r="E3" s="2" t="n">
        <v>5</v>
      </c>
      <c r="F3" s="2" t="n">
        <v>7</v>
      </c>
      <c r="G3" s="2" t="n">
        <v>11</v>
      </c>
      <c r="H3" s="1" t="s">
        <v>2</v>
      </c>
      <c r="I3" s="6" t="n">
        <v>0.6</v>
      </c>
      <c r="J3" s="6" t="n">
        <v>0.7</v>
      </c>
      <c r="K3" s="6" t="n">
        <v>0.8</v>
      </c>
      <c r="L3" s="6" t="n">
        <v>0.9</v>
      </c>
      <c r="M3" s="2" t="s">
        <v>3</v>
      </c>
      <c r="N3" s="14" t="n">
        <f aca="false">H132</f>
        <v>0.8029</v>
      </c>
    </row>
    <row r="4" customFormat="false" ht="13.8" hidden="false" customHeight="false" outlineLevel="0" collapsed="false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1" t="n">
        <f aca="false"> ((($A4*$A$2)+(1-$A$2)*(1-$A4))* (($B4*$B$2)+(1-$B$2)*(1-$B4)) *(($C4*$C$2)+(1-
$C$2)*(1-$C4))* (($D4*$D$2)+(1-$D$2)*(1-$D4))* (($E4*$E$2)+(1-$E$2)*(1-$E4))*
(($F4*$F$2)+(1-$F$2)*(1-$F4))* (($G4*$G$2)+(1-$G$2)*(1-$G4)))*$M4</f>
        <v>0</v>
      </c>
      <c r="I4" s="6" t="n">
        <f aca="false">PRODUCT(IF(B4=1,0.6,1-0.6), IF(A4=1,0.6,1-0.6),
        IF(C4=1,0.6,1-0.6),
        IF(D4=1,0.6,1-0.6),
        IF(E4=1,0.6,1-0.6),
        IF(F4=1,0.6,1-0.6),
        IF(G4=1,0.6,1-0.6)) * M4</f>
        <v>0</v>
      </c>
      <c r="J4" s="6" t="n">
        <f aca="false">PRODUCT(IF(B4=1,0.7,1-0.7), IF(A4=1,0.7,1-0.7),
          IF(C4=1,0.7,1-0.7),
          IF(D4=1,0.7,1-0.7),
          IF(E4=1,0.7,1-0.7),
          IF(F4=1,0.7,1-0.7),
          IF(G4=1,0.7,1-0.7)) * M4</f>
        <v>0</v>
      </c>
      <c r="K4" s="6" t="n">
        <f aca="false">PRODUCT(IF(B4=1,0.8,1-0.8),IF(A4=1,0.8,1-0.8),
          IF(C4=1,0.8,1-0.8),
          IF(D4=1,0.8,1-0.8),
          IF(E4=1,0.8,1-0.8),
          IF(F4=1,0.8,1-0.8),
          IF(G4=1,0.8,1-0.8)) * M4</f>
        <v>0</v>
      </c>
      <c r="L4" s="6" t="n">
        <f aca="false">PRODUCT(IF(B4=1,0.9,1-0.9), IF(A4=1,0.9,1-0.9),
          IF(C4=1,0.9,1-0.9),
          IF(D4=1,0.9,1-0.9),
          IF(E4=1,0.9,1-0.9),
          IF(F4=1,0.9,1-0.9),
          IF(G4=1,0.9,1-0.9)) * M4</f>
        <v>0</v>
      </c>
      <c r="M4" s="2" t="n">
        <f aca="false">IF(C4=1,1,IF(AND(B4=1,A4=1,G4=1,D4=1),1,IF(AND(B4=1,A4=1,F4=1,D4=1,E4=1)
,1,0)))</f>
        <v>0</v>
      </c>
    </row>
    <row r="5" customFormat="false" ht="13.8" hidden="false" customHeight="false" outlineLevel="0" collapsed="false">
      <c r="A5" s="2" t="n">
        <v>0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1</v>
      </c>
      <c r="H5" s="1" t="n">
        <f aca="false"> ((($A5*$A$2)+(1-$A$2)*(1-$A5))* (($B5*$B$2)+(1-$B$2)*(1-$B5)) *(($C5*$C$2)+(1-
$C$2)*(1-$C5))* (($D5*$D$2)+(1-$D$2)*(1-$D5))* (($E5*$E$2)+(1-$E$2)*(1-$E5))*
(($F5*$F$2)+(1-$F$2)*(1-$F5))* (($G5*$G$2)+(1-$G$2)*(1-$G5)))*$M5</f>
        <v>0</v>
      </c>
      <c r="I5" s="6" t="n">
        <f aca="false">PRODUCT(IF(B5=1,0.6,1-0.6), IF(A5=1,0.6,1-0.6),
        IF(C5=1,0.6,1-0.6),
        IF(D5=1,0.6,1-0.6),
        IF(E5=1,0.6,1-0.6),
        IF(F5=1,0.6,1-0.6),
        IF(G5=1,0.6,1-0.6)) * M5</f>
        <v>0</v>
      </c>
      <c r="J5" s="6" t="n">
        <f aca="false">PRODUCT(IF(B5=1,0.7,1-0.7), IF(A5=1,0.7,1-0.7),
          IF(C5=1,0.7,1-0.7),
          IF(D5=1,0.7,1-0.7),
          IF(E5=1,0.7,1-0.7),
          IF(F5=1,0.7,1-0.7),
          IF(G5=1,0.7,1-0.7)) * M5</f>
        <v>0</v>
      </c>
      <c r="K5" s="6" t="n">
        <f aca="false">PRODUCT(IF(B5=1,0.8,1-0.8),IF(A5=1,0.8,1-0.8),
          IF(C5=1,0.8,1-0.8),
          IF(D5=1,0.8,1-0.8),
          IF(E5=1,0.8,1-0.8),
          IF(F5=1,0.8,1-0.8),
          IF(G5=1,0.8,1-0.8)) * M5</f>
        <v>0</v>
      </c>
      <c r="L5" s="6" t="n">
        <f aca="false">PRODUCT(IF(B5=1,0.9,1-0.9), IF(A5=1,0.9,1-0.9),
          IF(C5=1,0.9,1-0.9),
          IF(D5=1,0.9,1-0.9),
          IF(E5=1,0.9,1-0.9),
          IF(F5=1,0.9,1-0.9),
          IF(G5=1,0.9,1-0.9)) * M5</f>
        <v>0</v>
      </c>
      <c r="M5" s="2" t="n">
        <f aca="false">IF(C5=1,1,IF(AND(B5=1,A5=1,G5=1,D5=1),1,IF(AND(B5=1,A5=1,F5=1,D5=1,E5=1)
,1,0)))</f>
        <v>0</v>
      </c>
    </row>
    <row r="6" customFormat="false" ht="13.8" hidden="false" customHeight="false" outlineLevel="0" collapsed="false">
      <c r="A6" s="2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1" t="n">
        <f aca="false"> ((($A6*$A$2)+(1-$A$2)*(1-$A6))* (($B6*$B$2)+(1-$B$2)*(1-$B6)) *(($C6*$C$2)+(1-
$C$2)*(1-$C6))* (($D6*$D$2)+(1-$D$2)*(1-$D6))* (($E6*$E$2)+(1-$E$2)*(1-$E6))*
(($F6*$F$2)+(1-$F$2)*(1-$F6))* (($G6*$G$2)+(1-$G$2)*(1-$G6)))*$M6</f>
        <v>0</v>
      </c>
      <c r="I6" s="6" t="n">
        <f aca="false">PRODUCT(IF(B6=1,0.6,1-0.6), IF(A6=1,0.6,1-0.6),
        IF(C6=1,0.6,1-0.6),
        IF(D6=1,0.6,1-0.6),
        IF(E6=1,0.6,1-0.6),
        IF(F6=1,0.6,1-0.6),
        IF(G6=1,0.6,1-0.6)) * M6</f>
        <v>0</v>
      </c>
      <c r="J6" s="6" t="n">
        <f aca="false">PRODUCT(IF(B6=1,0.7,1-0.7), IF(A6=1,0.7,1-0.7),
          IF(C6=1,0.7,1-0.7),
          IF(D6=1,0.7,1-0.7),
          IF(E6=1,0.7,1-0.7),
          IF(F6=1,0.7,1-0.7),
          IF(G6=1,0.7,1-0.7)) * M6</f>
        <v>0</v>
      </c>
      <c r="K6" s="6" t="n">
        <f aca="false">PRODUCT(IF(B6=1,0.8,1-0.8),IF(A6=1,0.8,1-0.8),
          IF(C6=1,0.8,1-0.8),
          IF(D6=1,0.8,1-0.8),
          IF(E6=1,0.8,1-0.8),
          IF(F6=1,0.8,1-0.8),
          IF(G6=1,0.8,1-0.8)) * M6</f>
        <v>0</v>
      </c>
      <c r="L6" s="6" t="n">
        <f aca="false">PRODUCT(IF(B6=1,0.9,1-0.9), IF(A6=1,0.9,1-0.9),
          IF(C6=1,0.9,1-0.9),
          IF(D6=1,0.9,1-0.9),
          IF(E6=1,0.9,1-0.9),
          IF(F6=1,0.9,1-0.9),
          IF(G6=1,0.9,1-0.9)) * M6</f>
        <v>0</v>
      </c>
      <c r="M6" s="2" t="n">
        <f aca="false">IF(C6=1,1,IF(AND(B6=1,A6=1,G6=1,D6=1),1,IF(AND(B6=1,A6=1,F6=1,D6=1,E6=1)
,1,0)))</f>
        <v>0</v>
      </c>
    </row>
    <row r="7" customFormat="false" ht="13.8" hidden="false" customHeight="false" outlineLevel="0" collapsed="false">
      <c r="A7" s="2" t="n">
        <v>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1</v>
      </c>
      <c r="H7" s="1" t="n">
        <f aca="false"> ((($A7*$A$2)+(1-$A$2)*(1-$A7))* (($B7*$B$2)+(1-$B$2)*(1-$B7)) *(($C7*$C$2)+(1-
$C$2)*(1-$C7))* (($D7*$D$2)+(1-$D$2)*(1-$D7))* (($E7*$E$2)+(1-$E$2)*(1-$E7))*
(($F7*$F$2)+(1-$F$2)*(1-$F7))* (($G7*$G$2)+(1-$G$2)*(1-$G7)))*$M7</f>
        <v>0</v>
      </c>
      <c r="I7" s="6" t="n">
        <f aca="false">PRODUCT(IF(B7=1,0.6,1-0.6), IF(A7=1,0.6,1-0.6),
        IF(C7=1,0.6,1-0.6),
        IF(D7=1,0.6,1-0.6),
        IF(E7=1,0.6,1-0.6),
        IF(F7=1,0.6,1-0.6),
        IF(G7=1,0.6,1-0.6)) * M7</f>
        <v>0</v>
      </c>
      <c r="J7" s="6" t="n">
        <f aca="false">PRODUCT(IF(B7=1,0.7,1-0.7), IF(A7=1,0.7,1-0.7),
          IF(C7=1,0.7,1-0.7),
          IF(D7=1,0.7,1-0.7),
          IF(E7=1,0.7,1-0.7),
          IF(F7=1,0.7,1-0.7),
          IF(G7=1,0.7,1-0.7)) * M7</f>
        <v>0</v>
      </c>
      <c r="K7" s="6" t="n">
        <f aca="false">PRODUCT(IF(B7=1,0.8,1-0.8),IF(A7=1,0.8,1-0.8),
          IF(C7=1,0.8,1-0.8),
          IF(D7=1,0.8,1-0.8),
          IF(E7=1,0.8,1-0.8),
          IF(F7=1,0.8,1-0.8),
          IF(G7=1,0.8,1-0.8)) * M7</f>
        <v>0</v>
      </c>
      <c r="L7" s="6" t="n">
        <f aca="false">PRODUCT(IF(B7=1,0.9,1-0.9), IF(A7=1,0.9,1-0.9),
          IF(C7=1,0.9,1-0.9),
          IF(D7=1,0.9,1-0.9),
          IF(E7=1,0.9,1-0.9),
          IF(F7=1,0.9,1-0.9),
          IF(G7=1,0.9,1-0.9)) * M7</f>
        <v>0</v>
      </c>
      <c r="M7" s="2" t="n">
        <f aca="false">IF(C7=1,1,IF(AND(B7=1,A7=1,G7=1,D7=1),1,IF(AND(B7=1,A7=1,F7=1,D7=1,E7=1)
,1,0)))</f>
        <v>0</v>
      </c>
    </row>
    <row r="8" customFormat="false" ht="13.8" hidden="false" customHeight="false" outlineLevel="0" collapsed="false">
      <c r="A8" s="2" t="n">
        <v>0</v>
      </c>
      <c r="B8" s="2" t="n">
        <v>0</v>
      </c>
      <c r="C8" s="2" t="n">
        <v>0</v>
      </c>
      <c r="D8" s="2" t="n">
        <v>0</v>
      </c>
      <c r="E8" s="2" t="n">
        <v>1</v>
      </c>
      <c r="F8" s="2" t="n">
        <v>0</v>
      </c>
      <c r="G8" s="2" t="n">
        <v>0</v>
      </c>
      <c r="H8" s="1" t="n">
        <f aca="false"> ((($A8*$A$2)+(1-$A$2)*(1-$A8))* (($B8*$B$2)+(1-$B$2)*(1-$B8)) *(($C8*$C$2)+(1-
$C$2)*(1-$C8))* (($D8*$D$2)+(1-$D$2)*(1-$D8))* (($E8*$E$2)+(1-$E$2)*(1-$E8))*
(($F8*$F$2)+(1-$F$2)*(1-$F8))* (($G8*$G$2)+(1-$G$2)*(1-$G8)))*$M8</f>
        <v>0</v>
      </c>
      <c r="I8" s="6" t="n">
        <f aca="false">PRODUCT(IF(B8=1,0.6,1-0.6), IF(A8=1,0.6,1-0.6),
        IF(C8=1,0.6,1-0.6),
        IF(D8=1,0.6,1-0.6),
        IF(E8=1,0.6,1-0.6),
        IF(F8=1,0.6,1-0.6),
        IF(G8=1,0.6,1-0.6)) * M8</f>
        <v>0</v>
      </c>
      <c r="J8" s="6" t="n">
        <f aca="false">PRODUCT(IF(B8=1,0.7,1-0.7), IF(A8=1,0.7,1-0.7),
          IF(C8=1,0.7,1-0.7),
          IF(D8=1,0.7,1-0.7),
          IF(E8=1,0.7,1-0.7),
          IF(F8=1,0.7,1-0.7),
          IF(G8=1,0.7,1-0.7)) * M8</f>
        <v>0</v>
      </c>
      <c r="K8" s="6" t="n">
        <f aca="false">PRODUCT(IF(B8=1,0.8,1-0.8),IF(A8=1,0.8,1-0.8),
          IF(C8=1,0.8,1-0.8),
          IF(D8=1,0.8,1-0.8),
          IF(E8=1,0.8,1-0.8),
          IF(F8=1,0.8,1-0.8),
          IF(G8=1,0.8,1-0.8)) * M8</f>
        <v>0</v>
      </c>
      <c r="L8" s="6" t="n">
        <f aca="false">PRODUCT(IF(B8=1,0.9,1-0.9), IF(A8=1,0.9,1-0.9),
          IF(C8=1,0.9,1-0.9),
          IF(D8=1,0.9,1-0.9),
          IF(E8=1,0.9,1-0.9),
          IF(F8=1,0.9,1-0.9),
          IF(G8=1,0.9,1-0.9)) * M8</f>
        <v>0</v>
      </c>
      <c r="M8" s="2" t="n">
        <f aca="false">IF(C8=1,1,IF(AND(B8=1,A8=1,G8=1,D8=1),1,IF(AND(B8=1,A8=1,F8=1,D8=1,E8=1)
,1,0)))</f>
        <v>0</v>
      </c>
    </row>
    <row r="9" customFormat="false" ht="13.8" hidden="false" customHeight="false" outlineLevel="0" collapsed="false">
      <c r="A9" s="2" t="n">
        <v>0</v>
      </c>
      <c r="B9" s="2" t="n">
        <v>0</v>
      </c>
      <c r="C9" s="2" t="n">
        <v>0</v>
      </c>
      <c r="D9" s="2" t="n">
        <v>0</v>
      </c>
      <c r="E9" s="2" t="n">
        <v>1</v>
      </c>
      <c r="F9" s="2" t="n">
        <v>0</v>
      </c>
      <c r="G9" s="2" t="n">
        <v>1</v>
      </c>
      <c r="H9" s="1" t="n">
        <f aca="false"> ((($A9*$A$2)+(1-$A$2)*(1-$A9))* (($B9*$B$2)+(1-$B$2)*(1-$B9)) *(($C9*$C$2)+(1-
$C$2)*(1-$C9))* (($D9*$D$2)+(1-$D$2)*(1-$D9))* (($E9*$E$2)+(1-$E$2)*(1-$E9))*
(($F9*$F$2)+(1-$F$2)*(1-$F9))* (($G9*$G$2)+(1-$G$2)*(1-$G9)))*$M9</f>
        <v>0</v>
      </c>
      <c r="I9" s="6" t="n">
        <f aca="false">PRODUCT(IF(B9=1,0.6,1-0.6), IF(A9=1,0.6,1-0.6),
        IF(C9=1,0.6,1-0.6),
        IF(D9=1,0.6,1-0.6),
        IF(E9=1,0.6,1-0.6),
        IF(F9=1,0.6,1-0.6),
        IF(G9=1,0.6,1-0.6)) * M9</f>
        <v>0</v>
      </c>
      <c r="J9" s="6" t="n">
        <f aca="false">PRODUCT(IF(B9=1,0.7,1-0.7), IF(A9=1,0.7,1-0.7),
          IF(C9=1,0.7,1-0.7),
          IF(D9=1,0.7,1-0.7),
          IF(E9=1,0.7,1-0.7),
          IF(F9=1,0.7,1-0.7),
          IF(G9=1,0.7,1-0.7)) * M9</f>
        <v>0</v>
      </c>
      <c r="K9" s="6" t="n">
        <f aca="false">PRODUCT(IF(B9=1,0.8,1-0.8),IF(A9=1,0.8,1-0.8),
          IF(C9=1,0.8,1-0.8),
          IF(D9=1,0.8,1-0.8),
          IF(E9=1,0.8,1-0.8),
          IF(F9=1,0.8,1-0.8),
          IF(G9=1,0.8,1-0.8)) * M9</f>
        <v>0</v>
      </c>
      <c r="L9" s="6" t="n">
        <f aca="false">PRODUCT(IF(B9=1,0.9,1-0.9), IF(A9=1,0.9,1-0.9),
          IF(C9=1,0.9,1-0.9),
          IF(D9=1,0.9,1-0.9),
          IF(E9=1,0.9,1-0.9),
          IF(F9=1,0.9,1-0.9),
          IF(G9=1,0.9,1-0.9)) * M9</f>
        <v>0</v>
      </c>
      <c r="M9" s="2" t="n">
        <f aca="false">IF(C9=1,1,IF(AND(B9=1,A9=1,G9=1,D9=1),1,IF(AND(B9=1,A9=1,F9=1,D9=1,E9=1)
,1,0)))</f>
        <v>0</v>
      </c>
    </row>
    <row r="10" customFormat="false" ht="13.8" hidden="false" customHeight="false" outlineLevel="0" collapsed="false">
      <c r="A10" s="2" t="n">
        <v>0</v>
      </c>
      <c r="B10" s="2" t="n">
        <v>0</v>
      </c>
      <c r="C10" s="2" t="n">
        <v>0</v>
      </c>
      <c r="D10" s="2" t="n">
        <v>0</v>
      </c>
      <c r="E10" s="2" t="n">
        <v>1</v>
      </c>
      <c r="F10" s="2" t="n">
        <v>1</v>
      </c>
      <c r="G10" s="2" t="n">
        <v>0</v>
      </c>
      <c r="H10" s="1" t="n">
        <f aca="false"> ((($A10*$A$2)+(1-$A$2)*(1-$A10))* (($B10*$B$2)+(1-$B$2)*(1-$B10)) *(($C10*$C$2)+(1-
$C$2)*(1-$C10))* (($D10*$D$2)+(1-$D$2)*(1-$D10))* (($E10*$E$2)+(1-$E$2)*(1-$E10))*
(($F10*$F$2)+(1-$F$2)*(1-$F10))* (($G10*$G$2)+(1-$G$2)*(1-$G10)))*$M10</f>
        <v>0</v>
      </c>
      <c r="I10" s="6" t="n">
        <f aca="false">PRODUCT(IF(B10=1,0.6,1-0.6), IF(A10=1,0.6,1-0.6),
        IF(C10=1,0.6,1-0.6),
        IF(D10=1,0.6,1-0.6),
        IF(E10=1,0.6,1-0.6),
        IF(F10=1,0.6,1-0.6),
        IF(G10=1,0.6,1-0.6)) * M10</f>
        <v>0</v>
      </c>
      <c r="J10" s="6" t="n">
        <f aca="false">PRODUCT(IF(B10=1,0.7,1-0.7), IF(A10=1,0.7,1-0.7),
          IF(C10=1,0.7,1-0.7),
          IF(D10=1,0.7,1-0.7),
          IF(E10=1,0.7,1-0.7),
          IF(F10=1,0.7,1-0.7),
          IF(G10=1,0.7,1-0.7)) * M10</f>
        <v>0</v>
      </c>
      <c r="K10" s="6" t="n">
        <f aca="false">PRODUCT(IF(B10=1,0.8,1-0.8),IF(A10=1,0.8,1-0.8),
          IF(C10=1,0.8,1-0.8),
          IF(D10=1,0.8,1-0.8),
          IF(E10=1,0.8,1-0.8),
          IF(F10=1,0.8,1-0.8),
          IF(G10=1,0.8,1-0.8)) * M10</f>
        <v>0</v>
      </c>
      <c r="L10" s="6" t="n">
        <f aca="false">PRODUCT(IF(B10=1,0.9,1-0.9), IF(A10=1,0.9,1-0.9),
          IF(C10=1,0.9,1-0.9),
          IF(D10=1,0.9,1-0.9),
          IF(E10=1,0.9,1-0.9),
          IF(F10=1,0.9,1-0.9),
          IF(G10=1,0.9,1-0.9)) * M10</f>
        <v>0</v>
      </c>
      <c r="M10" s="2" t="n">
        <f aca="false">IF(C10=1,1,IF(AND(B10=1,A10=1,G10=1,D10=1),1,IF(AND(B10=1,A10=1,F10=1,D10=1,E10=1)
,1,0)))</f>
        <v>0</v>
      </c>
    </row>
    <row r="11" customFormat="false" ht="13.8" hidden="false" customHeight="false" outlineLevel="0" collapsed="false">
      <c r="A11" s="2" t="n">
        <v>0</v>
      </c>
      <c r="B11" s="2" t="n">
        <v>0</v>
      </c>
      <c r="C11" s="2" t="n">
        <v>0</v>
      </c>
      <c r="D11" s="2" t="n">
        <v>0</v>
      </c>
      <c r="E11" s="2" t="n">
        <v>1</v>
      </c>
      <c r="F11" s="2" t="n">
        <v>1</v>
      </c>
      <c r="G11" s="2" t="n">
        <v>1</v>
      </c>
      <c r="H11" s="1" t="n">
        <f aca="false"> ((($A11*$A$2)+(1-$A$2)*(1-$A11))* (($B11*$B$2)+(1-$B$2)*(1-$B11)) *(($C11*$C$2)+(1-
$C$2)*(1-$C11))* (($D11*$D$2)+(1-$D$2)*(1-$D11))* (($E11*$E$2)+(1-$E$2)*(1-$E11))*
(($F11*$F$2)+(1-$F$2)*(1-$F11))* (($G11*$G$2)+(1-$G$2)*(1-$G11)))*$M11</f>
        <v>0</v>
      </c>
      <c r="I11" s="6" t="n">
        <f aca="false">PRODUCT(IF(B11=1,0.6,1-0.6), IF(A11=1,0.6,1-0.6),
        IF(C11=1,0.6,1-0.6),
        IF(D11=1,0.6,1-0.6),
        IF(E11=1,0.6,1-0.6),
        IF(F11=1,0.6,1-0.6),
        IF(G11=1,0.6,1-0.6)) * M11</f>
        <v>0</v>
      </c>
      <c r="J11" s="6" t="n">
        <f aca="false">PRODUCT(IF(B11=1,0.7,1-0.7), IF(A11=1,0.7,1-0.7),
          IF(C11=1,0.7,1-0.7),
          IF(D11=1,0.7,1-0.7),
          IF(E11=1,0.7,1-0.7),
          IF(F11=1,0.7,1-0.7),
          IF(G11=1,0.7,1-0.7)) * M11</f>
        <v>0</v>
      </c>
      <c r="K11" s="6" t="n">
        <f aca="false">PRODUCT(IF(B11=1,0.8,1-0.8),IF(A11=1,0.8,1-0.8),
          IF(C11=1,0.8,1-0.8),
          IF(D11=1,0.8,1-0.8),
          IF(E11=1,0.8,1-0.8),
          IF(F11=1,0.8,1-0.8),
          IF(G11=1,0.8,1-0.8)) * M11</f>
        <v>0</v>
      </c>
      <c r="L11" s="6" t="n">
        <f aca="false">PRODUCT(IF(B11=1,0.9,1-0.9), IF(A11=1,0.9,1-0.9),
          IF(C11=1,0.9,1-0.9),
          IF(D11=1,0.9,1-0.9),
          IF(E11=1,0.9,1-0.9),
          IF(F11=1,0.9,1-0.9),
          IF(G11=1,0.9,1-0.9)) * M11</f>
        <v>0</v>
      </c>
      <c r="M11" s="2" t="n">
        <f aca="false">IF(C11=1,1,IF(AND(B11=1,A11=1,G11=1,D11=1),1,IF(AND(B11=1,A11=1,F11=1,D11=1,E11=1)
,1,0)))</f>
        <v>0</v>
      </c>
    </row>
    <row r="12" customFormat="false" ht="13.8" hidden="false" customHeight="false" outlineLevel="0" collapsed="false">
      <c r="A12" s="2" t="n">
        <v>0</v>
      </c>
      <c r="B12" s="2" t="n">
        <v>0</v>
      </c>
      <c r="C12" s="2" t="n">
        <v>0</v>
      </c>
      <c r="D12" s="2" t="n">
        <v>1</v>
      </c>
      <c r="E12" s="2" t="n">
        <v>0</v>
      </c>
      <c r="F12" s="2" t="n">
        <v>0</v>
      </c>
      <c r="G12" s="2" t="n">
        <v>0</v>
      </c>
      <c r="H12" s="1" t="n">
        <f aca="false"> ((($A12*$A$2)+(1-$A$2)*(1-$A12))* (($B12*$B$2)+(1-$B$2)*(1-$B12)) *(($C12*$C$2)+(1-
$C$2)*(1-$C12))* (($D12*$D$2)+(1-$D$2)*(1-$D12))* (($E12*$E$2)+(1-$E$2)*(1-$E12))*
(($F12*$F$2)+(1-$F$2)*(1-$F12))* (($G12*$G$2)+(1-$G$2)*(1-$G12)))*$M12</f>
        <v>0</v>
      </c>
      <c r="I12" s="6" t="n">
        <f aca="false">PRODUCT(IF(B12=1,0.6,1-0.6), IF(A12=1,0.6,1-0.6),
        IF(C12=1,0.6,1-0.6),
        IF(D12=1,0.6,1-0.6),
        IF(E12=1,0.6,1-0.6),
        IF(F12=1,0.6,1-0.6),
        IF(G12=1,0.6,1-0.6)) * M12</f>
        <v>0</v>
      </c>
      <c r="J12" s="6" t="n">
        <f aca="false">PRODUCT(IF(B12=1,0.7,1-0.7), IF(A12=1,0.7,1-0.7),
          IF(C12=1,0.7,1-0.7),
          IF(D12=1,0.7,1-0.7),
          IF(E12=1,0.7,1-0.7),
          IF(F12=1,0.7,1-0.7),
          IF(G12=1,0.7,1-0.7)) * M12</f>
        <v>0</v>
      </c>
      <c r="K12" s="6" t="n">
        <f aca="false">PRODUCT(IF(B12=1,0.8,1-0.8),IF(A12=1,0.8,1-0.8),
          IF(C12=1,0.8,1-0.8),
          IF(D12=1,0.8,1-0.8),
          IF(E12=1,0.8,1-0.8),
          IF(F12=1,0.8,1-0.8),
          IF(G12=1,0.8,1-0.8)) * M12</f>
        <v>0</v>
      </c>
      <c r="L12" s="6" t="n">
        <f aca="false">PRODUCT(IF(B12=1,0.9,1-0.9), IF(A12=1,0.9,1-0.9),
          IF(C12=1,0.9,1-0.9),
          IF(D12=1,0.9,1-0.9),
          IF(E12=1,0.9,1-0.9),
          IF(F12=1,0.9,1-0.9),
          IF(G12=1,0.9,1-0.9)) * M12</f>
        <v>0</v>
      </c>
      <c r="M12" s="2" t="n">
        <f aca="false">IF(C12=1,1,IF(AND(B12=1,A12=1,G12=1,D12=1),1,IF(AND(B12=1,A12=1,F12=1,D12=1,E12=1)
,1,0)))</f>
        <v>0</v>
      </c>
    </row>
    <row r="13" customFormat="false" ht="13.8" hidden="false" customHeight="false" outlineLevel="0" collapsed="false">
      <c r="A13" s="2" t="n">
        <v>0</v>
      </c>
      <c r="B13" s="2" t="n">
        <v>0</v>
      </c>
      <c r="C13" s="2" t="n">
        <v>0</v>
      </c>
      <c r="D13" s="2" t="n">
        <v>1</v>
      </c>
      <c r="E13" s="2" t="n">
        <v>0</v>
      </c>
      <c r="F13" s="2" t="n">
        <v>0</v>
      </c>
      <c r="G13" s="2" t="n">
        <v>1</v>
      </c>
      <c r="H13" s="1" t="n">
        <f aca="false"> ((($A13*$A$2)+(1-$A$2)*(1-$A13))* (($B13*$B$2)+(1-$B$2)*(1-$B13)) *(($C13*$C$2)+(1-
$C$2)*(1-$C13))* (($D13*$D$2)+(1-$D$2)*(1-$D13))* (($E13*$E$2)+(1-$E$2)*(1-$E13))*
(($F13*$F$2)+(1-$F$2)*(1-$F13))* (($G13*$G$2)+(1-$G$2)*(1-$G13)))*$M13</f>
        <v>0</v>
      </c>
      <c r="I13" s="6" t="n">
        <f aca="false">PRODUCT(IF(B13=1,0.6,1-0.6), IF(A13=1,0.6,1-0.6),
        IF(C13=1,0.6,1-0.6),
        IF(D13=1,0.6,1-0.6),
        IF(E13=1,0.6,1-0.6),
        IF(F13=1,0.6,1-0.6),
        IF(G13=1,0.6,1-0.6)) * M13</f>
        <v>0</v>
      </c>
      <c r="J13" s="6" t="n">
        <f aca="false">PRODUCT(IF(B13=1,0.7,1-0.7), IF(A13=1,0.7,1-0.7),
          IF(C13=1,0.7,1-0.7),
          IF(D13=1,0.7,1-0.7),
          IF(E13=1,0.7,1-0.7),
          IF(F13=1,0.7,1-0.7),
          IF(G13=1,0.7,1-0.7)) * M13</f>
        <v>0</v>
      </c>
      <c r="K13" s="6" t="n">
        <f aca="false">PRODUCT(IF(B13=1,0.8,1-0.8),IF(A13=1,0.8,1-0.8),
          IF(C13=1,0.8,1-0.8),
          IF(D13=1,0.8,1-0.8),
          IF(E13=1,0.8,1-0.8),
          IF(F13=1,0.8,1-0.8),
          IF(G13=1,0.8,1-0.8)) * M13</f>
        <v>0</v>
      </c>
      <c r="L13" s="6" t="n">
        <f aca="false">PRODUCT(IF(B13=1,0.9,1-0.9), IF(A13=1,0.9,1-0.9),
          IF(C13=1,0.9,1-0.9),
          IF(D13=1,0.9,1-0.9),
          IF(E13=1,0.9,1-0.9),
          IF(F13=1,0.9,1-0.9),
          IF(G13=1,0.9,1-0.9)) * M13</f>
        <v>0</v>
      </c>
      <c r="M13" s="2" t="n">
        <f aca="false">IF(C13=1,1,IF(AND(B13=1,A13=1,G13=1,D13=1),1,IF(AND(B13=1,A13=1,F13=1,D13=1,E13=1)
,1,0)))</f>
        <v>0</v>
      </c>
    </row>
    <row r="14" customFormat="false" ht="13.8" hidden="false" customHeight="false" outlineLevel="0" collapsed="false">
      <c r="A14" s="2" t="n">
        <v>0</v>
      </c>
      <c r="B14" s="2" t="n">
        <v>0</v>
      </c>
      <c r="C14" s="2" t="n">
        <v>0</v>
      </c>
      <c r="D14" s="2" t="n">
        <v>1</v>
      </c>
      <c r="E14" s="2" t="n">
        <v>0</v>
      </c>
      <c r="F14" s="2" t="n">
        <v>1</v>
      </c>
      <c r="G14" s="2" t="n">
        <v>0</v>
      </c>
      <c r="H14" s="1" t="n">
        <f aca="false"> ((($A14*$A$2)+(1-$A$2)*(1-$A14))* (($B14*$B$2)+(1-$B$2)*(1-$B14)) *(($C14*$C$2)+(1-
$C$2)*(1-$C14))* (($D14*$D$2)+(1-$D$2)*(1-$D14))* (($E14*$E$2)+(1-$E$2)*(1-$E14))*
(($F14*$F$2)+(1-$F$2)*(1-$F14))* (($G14*$G$2)+(1-$G$2)*(1-$G14)))*$M14</f>
        <v>0</v>
      </c>
      <c r="I14" s="6" t="n">
        <f aca="false">PRODUCT(IF(B14=1,0.6,1-0.6), IF(A14=1,0.6,1-0.6),
        IF(C14=1,0.6,1-0.6),
        IF(D14=1,0.6,1-0.6),
        IF(E14=1,0.6,1-0.6),
        IF(F14=1,0.6,1-0.6),
        IF(G14=1,0.6,1-0.6)) * M14</f>
        <v>0</v>
      </c>
      <c r="J14" s="6" t="n">
        <f aca="false">PRODUCT(IF(B14=1,0.7,1-0.7), IF(A14=1,0.7,1-0.7),
          IF(C14=1,0.7,1-0.7),
          IF(D14=1,0.7,1-0.7),
          IF(E14=1,0.7,1-0.7),
          IF(F14=1,0.7,1-0.7),
          IF(G14=1,0.7,1-0.7)) * M14</f>
        <v>0</v>
      </c>
      <c r="K14" s="6" t="n">
        <f aca="false">PRODUCT(IF(B14=1,0.8,1-0.8),IF(A14=1,0.8,1-0.8),
          IF(C14=1,0.8,1-0.8),
          IF(D14=1,0.8,1-0.8),
          IF(E14=1,0.8,1-0.8),
          IF(F14=1,0.8,1-0.8),
          IF(G14=1,0.8,1-0.8)) * M14</f>
        <v>0</v>
      </c>
      <c r="L14" s="6" t="n">
        <f aca="false">PRODUCT(IF(B14=1,0.9,1-0.9), IF(A14=1,0.9,1-0.9),
          IF(C14=1,0.9,1-0.9),
          IF(D14=1,0.9,1-0.9),
          IF(E14=1,0.9,1-0.9),
          IF(F14=1,0.9,1-0.9),
          IF(G14=1,0.9,1-0.9)) * M14</f>
        <v>0</v>
      </c>
      <c r="M14" s="2" t="n">
        <f aca="false">IF(C14=1,1,IF(AND(B14=1,A14=1,G14=1,D14=1),1,IF(AND(B14=1,A14=1,F14=1,D14=1,E14=1)
,1,0)))</f>
        <v>0</v>
      </c>
    </row>
    <row r="15" customFormat="false" ht="13.8" hidden="false" customHeight="false" outlineLevel="0" collapsed="false">
      <c r="A15" s="2" t="n">
        <v>0</v>
      </c>
      <c r="B15" s="2" t="n">
        <v>0</v>
      </c>
      <c r="C15" s="2" t="n">
        <v>0</v>
      </c>
      <c r="D15" s="2" t="n">
        <v>1</v>
      </c>
      <c r="E15" s="2" t="n">
        <v>0</v>
      </c>
      <c r="F15" s="2" t="n">
        <v>1</v>
      </c>
      <c r="G15" s="2" t="n">
        <v>1</v>
      </c>
      <c r="H15" s="1" t="n">
        <f aca="false"> ((($A15*$A$2)+(1-$A$2)*(1-$A15))* (($B15*$B$2)+(1-$B$2)*(1-$B15)) *(($C15*$C$2)+(1-
$C$2)*(1-$C15))* (($D15*$D$2)+(1-$D$2)*(1-$D15))* (($E15*$E$2)+(1-$E$2)*(1-$E15))*
(($F15*$F$2)+(1-$F$2)*(1-$F15))* (($G15*$G$2)+(1-$G$2)*(1-$G15)))*$M15</f>
        <v>0</v>
      </c>
      <c r="I15" s="6" t="n">
        <f aca="false">PRODUCT(IF(B15=1,0.6,1-0.6), IF(A15=1,0.6,1-0.6),
        IF(C15=1,0.6,1-0.6),
        IF(D15=1,0.6,1-0.6),
        IF(E15=1,0.6,1-0.6),
        IF(F15=1,0.6,1-0.6),
        IF(G15=1,0.6,1-0.6)) * M15</f>
        <v>0</v>
      </c>
      <c r="J15" s="6" t="n">
        <f aca="false">PRODUCT(IF(B15=1,0.7,1-0.7), IF(A15=1,0.7,1-0.7),
          IF(C15=1,0.7,1-0.7),
          IF(D15=1,0.7,1-0.7),
          IF(E15=1,0.7,1-0.7),
          IF(F15=1,0.7,1-0.7),
          IF(G15=1,0.7,1-0.7)) * M15</f>
        <v>0</v>
      </c>
      <c r="K15" s="6" t="n">
        <f aca="false">PRODUCT(IF(B15=1,0.8,1-0.8),IF(A15=1,0.8,1-0.8),
          IF(C15=1,0.8,1-0.8),
          IF(D15=1,0.8,1-0.8),
          IF(E15=1,0.8,1-0.8),
          IF(F15=1,0.8,1-0.8),
          IF(G15=1,0.8,1-0.8)) * M15</f>
        <v>0</v>
      </c>
      <c r="L15" s="6" t="n">
        <f aca="false">PRODUCT(IF(B15=1,0.9,1-0.9), IF(A15=1,0.9,1-0.9),
          IF(C15=1,0.9,1-0.9),
          IF(D15=1,0.9,1-0.9),
          IF(E15=1,0.9,1-0.9),
          IF(F15=1,0.9,1-0.9),
          IF(G15=1,0.9,1-0.9)) * M15</f>
        <v>0</v>
      </c>
      <c r="M15" s="2" t="n">
        <f aca="false">IF(C15=1,1,IF(AND(B15=1,A15=1,G15=1,D15=1),1,IF(AND(B15=1,A15=1,F15=1,D15=1,E15=1)
,1,0)))</f>
        <v>0</v>
      </c>
    </row>
    <row r="16" customFormat="false" ht="13.8" hidden="false" customHeight="false" outlineLevel="0" collapsed="false">
      <c r="A16" s="2" t="n">
        <v>0</v>
      </c>
      <c r="B16" s="2" t="n">
        <v>0</v>
      </c>
      <c r="C16" s="2" t="n">
        <v>0</v>
      </c>
      <c r="D16" s="2" t="n">
        <v>1</v>
      </c>
      <c r="E16" s="2" t="n">
        <v>1</v>
      </c>
      <c r="F16" s="2" t="n">
        <v>0</v>
      </c>
      <c r="G16" s="2" t="n">
        <v>0</v>
      </c>
      <c r="H16" s="1" t="n">
        <f aca="false"> ((($A16*$A$2)+(1-$A$2)*(1-$A16))* (($B16*$B$2)+(1-$B$2)*(1-$B16)) *(($C16*$C$2)+(1-
$C$2)*(1-$C16))* (($D16*$D$2)+(1-$D$2)*(1-$D16))* (($E16*$E$2)+(1-$E$2)*(1-$E16))*
(($F16*$F$2)+(1-$F$2)*(1-$F16))* (($G16*$G$2)+(1-$G$2)*(1-$G16)))*$M16</f>
        <v>0</v>
      </c>
      <c r="I16" s="6" t="n">
        <f aca="false">PRODUCT(IF(B16=1,0.6,1-0.6), IF(A16=1,0.6,1-0.6),
        IF(C16=1,0.6,1-0.6),
        IF(D16=1,0.6,1-0.6),
        IF(E16=1,0.6,1-0.6),
        IF(F16=1,0.6,1-0.6),
        IF(G16=1,0.6,1-0.6)) * M16</f>
        <v>0</v>
      </c>
      <c r="J16" s="6" t="n">
        <f aca="false">PRODUCT(IF(B16=1,0.7,1-0.7), IF(A16=1,0.7,1-0.7),
          IF(C16=1,0.7,1-0.7),
          IF(D16=1,0.7,1-0.7),
          IF(E16=1,0.7,1-0.7),
          IF(F16=1,0.7,1-0.7),
          IF(G16=1,0.7,1-0.7)) * M16</f>
        <v>0</v>
      </c>
      <c r="K16" s="6" t="n">
        <f aca="false">PRODUCT(IF(B16=1,0.8,1-0.8),IF(A16=1,0.8,1-0.8),
          IF(C16=1,0.8,1-0.8),
          IF(D16=1,0.8,1-0.8),
          IF(E16=1,0.8,1-0.8),
          IF(F16=1,0.8,1-0.8),
          IF(G16=1,0.8,1-0.8)) * M16</f>
        <v>0</v>
      </c>
      <c r="L16" s="6" t="n">
        <f aca="false">PRODUCT(IF(B16=1,0.9,1-0.9), IF(A16=1,0.9,1-0.9),
          IF(C16=1,0.9,1-0.9),
          IF(D16=1,0.9,1-0.9),
          IF(E16=1,0.9,1-0.9),
          IF(F16=1,0.9,1-0.9),
          IF(G16=1,0.9,1-0.9)) * M16</f>
        <v>0</v>
      </c>
      <c r="M16" s="2" t="n">
        <f aca="false">IF(C16=1,1,IF(AND(B16=1,A16=1,G16=1,D16=1),1,IF(AND(B16=1,A16=1,F16=1,D16=1,E16=1)
,1,0)))</f>
        <v>0</v>
      </c>
    </row>
    <row r="17" customFormat="false" ht="13.8" hidden="false" customHeight="false" outlineLevel="0" collapsed="false">
      <c r="A17" s="2" t="n">
        <v>0</v>
      </c>
      <c r="B17" s="2" t="n">
        <v>0</v>
      </c>
      <c r="C17" s="2" t="n">
        <v>0</v>
      </c>
      <c r="D17" s="2" t="n">
        <v>1</v>
      </c>
      <c r="E17" s="2" t="n">
        <v>1</v>
      </c>
      <c r="F17" s="2" t="n">
        <v>0</v>
      </c>
      <c r="G17" s="2" t="n">
        <v>1</v>
      </c>
      <c r="H17" s="1" t="n">
        <f aca="false"> ((($A17*$A$2)+(1-$A$2)*(1-$A17))* (($B17*$B$2)+(1-$B$2)*(1-$B17)) *(($C17*$C$2)+(1-
$C$2)*(1-$C17))* (($D17*$D$2)+(1-$D$2)*(1-$D17))* (($E17*$E$2)+(1-$E$2)*(1-$E17))*
(($F17*$F$2)+(1-$F$2)*(1-$F17))* (($G17*$G$2)+(1-$G$2)*(1-$G17)))*$M17</f>
        <v>0</v>
      </c>
      <c r="I17" s="6" t="n">
        <f aca="false">PRODUCT(IF(B17=1,0.6,1-0.6), IF(A17=1,0.6,1-0.6),
        IF(C17=1,0.6,1-0.6),
        IF(D17=1,0.6,1-0.6),
        IF(E17=1,0.6,1-0.6),
        IF(F17=1,0.6,1-0.6),
        IF(G17=1,0.6,1-0.6)) * M17</f>
        <v>0</v>
      </c>
      <c r="J17" s="6" t="n">
        <f aca="false">PRODUCT(IF(B17=1,0.7,1-0.7), IF(A17=1,0.7,1-0.7),
          IF(C17=1,0.7,1-0.7),
          IF(D17=1,0.7,1-0.7),
          IF(E17=1,0.7,1-0.7),
          IF(F17=1,0.7,1-0.7),
          IF(G17=1,0.7,1-0.7)) * M17</f>
        <v>0</v>
      </c>
      <c r="K17" s="6" t="n">
        <f aca="false">PRODUCT(IF(B17=1,0.8,1-0.8),IF(A17=1,0.8,1-0.8),
          IF(C17=1,0.8,1-0.8),
          IF(D17=1,0.8,1-0.8),
          IF(E17=1,0.8,1-0.8),
          IF(F17=1,0.8,1-0.8),
          IF(G17=1,0.8,1-0.8)) * M17</f>
        <v>0</v>
      </c>
      <c r="L17" s="6" t="n">
        <f aca="false">PRODUCT(IF(B17=1,0.9,1-0.9), IF(A17=1,0.9,1-0.9),
          IF(C17=1,0.9,1-0.9),
          IF(D17=1,0.9,1-0.9),
          IF(E17=1,0.9,1-0.9),
          IF(F17=1,0.9,1-0.9),
          IF(G17=1,0.9,1-0.9)) * M17</f>
        <v>0</v>
      </c>
      <c r="M17" s="2" t="n">
        <f aca="false">IF(C17=1,1,IF(AND(B17=1,A17=1,G17=1,D17=1),1,IF(AND(B17=1,A17=1,F17=1,D17=1,E17=1)
,1,0)))</f>
        <v>0</v>
      </c>
    </row>
    <row r="18" customFormat="false" ht="13.8" hidden="false" customHeight="false" outlineLevel="0" collapsed="false">
      <c r="A18" s="2" t="n">
        <v>0</v>
      </c>
      <c r="B18" s="2" t="n">
        <v>0</v>
      </c>
      <c r="C18" s="2" t="n">
        <v>0</v>
      </c>
      <c r="D18" s="2" t="n">
        <v>1</v>
      </c>
      <c r="E18" s="2" t="n">
        <v>1</v>
      </c>
      <c r="F18" s="2" t="n">
        <v>1</v>
      </c>
      <c r="G18" s="2" t="n">
        <v>0</v>
      </c>
      <c r="H18" s="1" t="n">
        <f aca="false"> ((($A18*$A$2)+(1-$A$2)*(1-$A18))* (($B18*$B$2)+(1-$B$2)*(1-$B18)) *(($C18*$C$2)+(1-
$C$2)*(1-$C18))* (($D18*$D$2)+(1-$D$2)*(1-$D18))* (($E18*$E$2)+(1-$E$2)*(1-$E18))*
(($F18*$F$2)+(1-$F$2)*(1-$F18))* (($G18*$G$2)+(1-$G$2)*(1-$G18)))*$M18</f>
        <v>0</v>
      </c>
      <c r="I18" s="6" t="n">
        <f aca="false">PRODUCT(IF(B18=1,0.6,1-0.6), IF(A18=1,0.6,1-0.6),
        IF(C18=1,0.6,1-0.6),
        IF(D18=1,0.6,1-0.6),
        IF(E18=1,0.6,1-0.6),
        IF(F18=1,0.6,1-0.6),
        IF(G18=1,0.6,1-0.6)) * M18</f>
        <v>0</v>
      </c>
      <c r="J18" s="6" t="n">
        <f aca="false">PRODUCT(IF(B18=1,0.7,1-0.7), IF(A18=1,0.7,1-0.7),
          IF(C18=1,0.7,1-0.7),
          IF(D18=1,0.7,1-0.7),
          IF(E18=1,0.7,1-0.7),
          IF(F18=1,0.7,1-0.7),
          IF(G18=1,0.7,1-0.7)) * M18</f>
        <v>0</v>
      </c>
      <c r="K18" s="6" t="n">
        <f aca="false">PRODUCT(IF(B18=1,0.8,1-0.8),IF(A18=1,0.8,1-0.8),
          IF(C18=1,0.8,1-0.8),
          IF(D18=1,0.8,1-0.8),
          IF(E18=1,0.8,1-0.8),
          IF(F18=1,0.8,1-0.8),
          IF(G18=1,0.8,1-0.8)) * M18</f>
        <v>0</v>
      </c>
      <c r="L18" s="6" t="n">
        <f aca="false">PRODUCT(IF(B18=1,0.9,1-0.9), IF(A18=1,0.9,1-0.9),
          IF(C18=1,0.9,1-0.9),
          IF(D18=1,0.9,1-0.9),
          IF(E18=1,0.9,1-0.9),
          IF(F18=1,0.9,1-0.9),
          IF(G18=1,0.9,1-0.9)) * M18</f>
        <v>0</v>
      </c>
      <c r="M18" s="2" t="n">
        <f aca="false">IF(C18=1,1,IF(AND(B18=1,A18=1,G18=1,D18=1),1,IF(AND(B18=1,A18=1,F18=1,D18=1,E18=1)
,1,0)))</f>
        <v>0</v>
      </c>
    </row>
    <row r="19" customFormat="false" ht="13.8" hidden="false" customHeight="false" outlineLevel="0" collapsed="false">
      <c r="A19" s="2" t="n">
        <v>0</v>
      </c>
      <c r="B19" s="2" t="n">
        <v>0</v>
      </c>
      <c r="C19" s="2" t="n">
        <v>0</v>
      </c>
      <c r="D19" s="2" t="n">
        <v>1</v>
      </c>
      <c r="E19" s="2" t="n">
        <v>1</v>
      </c>
      <c r="F19" s="2" t="n">
        <v>1</v>
      </c>
      <c r="G19" s="2" t="n">
        <v>1</v>
      </c>
      <c r="H19" s="1" t="n">
        <f aca="false"> ((($A19*$A$2)+(1-$A$2)*(1-$A19))* (($B19*$B$2)+(1-$B$2)*(1-$B19)) *(($C19*$C$2)+(1-
$C$2)*(1-$C19))* (($D19*$D$2)+(1-$D$2)*(1-$D19))* (($E19*$E$2)+(1-$E$2)*(1-$E19))*
(($F19*$F$2)+(1-$F$2)*(1-$F19))* (($G19*$G$2)+(1-$G$2)*(1-$G19)))*$M19</f>
        <v>0</v>
      </c>
      <c r="I19" s="6" t="n">
        <f aca="false">PRODUCT(IF(B19=1,0.6,1-0.6), IF(A19=1,0.6,1-0.6),
        IF(C19=1,0.6,1-0.6),
        IF(D19=1,0.6,1-0.6),
        IF(E19=1,0.6,1-0.6),
        IF(F19=1,0.6,1-0.6),
        IF(G19=1,0.6,1-0.6)) * M19</f>
        <v>0</v>
      </c>
      <c r="J19" s="6" t="n">
        <f aca="false">PRODUCT(IF(B19=1,0.7,1-0.7), IF(A19=1,0.7,1-0.7),
          IF(C19=1,0.7,1-0.7),
          IF(D19=1,0.7,1-0.7),
          IF(E19=1,0.7,1-0.7),
          IF(F19=1,0.7,1-0.7),
          IF(G19=1,0.7,1-0.7)) * M19</f>
        <v>0</v>
      </c>
      <c r="K19" s="6" t="n">
        <f aca="false">PRODUCT(IF(B19=1,0.8,1-0.8),IF(A19=1,0.8,1-0.8),
          IF(C19=1,0.8,1-0.8),
          IF(D19=1,0.8,1-0.8),
          IF(E19=1,0.8,1-0.8),
          IF(F19=1,0.8,1-0.8),
          IF(G19=1,0.8,1-0.8)) * M19</f>
        <v>0</v>
      </c>
      <c r="L19" s="6" t="n">
        <f aca="false">PRODUCT(IF(B19=1,0.9,1-0.9), IF(A19=1,0.9,1-0.9),
          IF(C19=1,0.9,1-0.9),
          IF(D19=1,0.9,1-0.9),
          IF(E19=1,0.9,1-0.9),
          IF(F19=1,0.9,1-0.9),
          IF(G19=1,0.9,1-0.9)) * M19</f>
        <v>0</v>
      </c>
      <c r="M19" s="2" t="n">
        <f aca="false">IF(C19=1,1,IF(AND(B19=1,A19=1,G19=1,D19=1),1,IF(AND(B19=1,A19=1,F19=1,D19=1,E19=1)
,1,0)))</f>
        <v>0</v>
      </c>
    </row>
    <row r="20" customFormat="false" ht="13.8" hidden="false" customHeight="false" outlineLevel="0" collapsed="false">
      <c r="A20" s="2" t="n">
        <v>0</v>
      </c>
      <c r="B20" s="2" t="n">
        <v>0</v>
      </c>
      <c r="C20" s="2" t="n">
        <v>1</v>
      </c>
      <c r="D20" s="2" t="n">
        <v>0</v>
      </c>
      <c r="E20" s="2" t="n">
        <v>0</v>
      </c>
      <c r="F20" s="2" t="n">
        <v>0</v>
      </c>
      <c r="G20" s="2" t="n">
        <v>0</v>
      </c>
      <c r="H20" s="1" t="n">
        <f aca="false"> ((($A20*$A$2)+(1-$A$2)*(1-$A20))* (($B20*$B$2)+(1-$B$2)*(1-$B20)) *(($C20*$C$2)+(1-
$C$2)*(1-$C20))* (($D20*$D$2)+(1-$D$2)*(1-$D20))* (($E20*$E$2)+(1-$E$2)*(1-$E20))*
(($F20*$F$2)+(1-$F$2)*(1-$F20))* (($G20*$G$2)+(1-$G$2)*(1-$G20)))*$M20</f>
        <v>0</v>
      </c>
      <c r="I20" s="6" t="n">
        <f aca="false">PRODUCT(IF(B20=1,0.6,1-0.6), IF(A20=1,0.6,1-0.6),
        IF(C20=1,0.6,1-0.6),
        IF(D20=1,0.6,1-0.6),
        IF(E20=1,0.6,1-0.6),
        IF(F20=1,0.6,1-0.6),
        IF(G20=1,0.6,1-0.6)) * M20</f>
        <v>0.0024576</v>
      </c>
      <c r="J20" s="6" t="n">
        <f aca="false">PRODUCT(IF(B20=1,0.7,1-0.7), IF(A20=1,0.7,1-0.7),
          IF(C20=1,0.7,1-0.7),
          IF(D20=1,0.7,1-0.7),
          IF(E20=1,0.7,1-0.7),
          IF(F20=1,0.7,1-0.7),
          IF(G20=1,0.7,1-0.7)) * M20</f>
        <v>0.0005103</v>
      </c>
      <c r="K20" s="6" t="n">
        <f aca="false">PRODUCT(IF(B20=1,0.8,1-0.8),IF(A20=1,0.8,1-0.8),
          IF(C20=1,0.8,1-0.8),
          IF(D20=1,0.8,1-0.8),
          IF(E20=1,0.8,1-0.8),
          IF(F20=1,0.8,1-0.8),
          IF(G20=1,0.8,1-0.8)) * M20</f>
        <v>5.11999999999999E-005</v>
      </c>
      <c r="L20" s="6" t="n">
        <f aca="false">PRODUCT(IF(B20=1,0.9,1-0.9), IF(A20=1,0.9,1-0.9),
          IF(C20=1,0.9,1-0.9),
          IF(D20=1,0.9,1-0.9),
          IF(E20=1,0.9,1-0.9),
          IF(F20=1,0.9,1-0.9),
          IF(G20=1,0.9,1-0.9)) * M20</f>
        <v>8.99999999999999E-007</v>
      </c>
      <c r="M20" s="2" t="n">
        <f aca="false">IF(C20=1,1,IF(AND(B20=1,A20=1,G20=1,D20=1),1,IF(AND(B20=1,A20=1,F20=1,D20=1,E20=1)
,1,0)))</f>
        <v>1</v>
      </c>
    </row>
    <row r="21" customFormat="false" ht="13.8" hidden="false" customHeight="false" outlineLevel="0" collapsed="false">
      <c r="A21" s="2" t="n">
        <v>0</v>
      </c>
      <c r="B21" s="2" t="n">
        <v>0</v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1</v>
      </c>
      <c r="H21" s="1" t="n">
        <f aca="false"> ((($A21*$A$2)+(1-$A$2)*(1-$A21))* (($B21*$B$2)+(1-$B$2)*(1-$B21)) *(($C21*$C$2)+(1-
$C$2)*(1-$C21))* (($D21*$D$2)+(1-$D$2)*(1-$D21))* (($E21*$E$2)+(1-$E$2)*(1-$E21))*
(($F21*$F$2)+(1-$F$2)*(1-$F21))* (($G21*$G$2)+(1-$G$2)*(1-$G21)))*$M21</f>
        <v>0.001701</v>
      </c>
      <c r="I21" s="6" t="n">
        <f aca="false">PRODUCT(IF(B21=1,0.6,1-0.6), IF(A21=1,0.6,1-0.6),
        IF(C21=1,0.6,1-0.6),
        IF(D21=1,0.6,1-0.6),
        IF(E21=1,0.6,1-0.6),
        IF(F21=1,0.6,1-0.6),
        IF(G21=1,0.6,1-0.6)) * M21</f>
        <v>0.0036864</v>
      </c>
      <c r="J21" s="6" t="n">
        <f aca="false">PRODUCT(IF(B21=1,0.7,1-0.7), IF(A21=1,0.7,1-0.7),
          IF(C21=1,0.7,1-0.7),
          IF(D21=1,0.7,1-0.7),
          IF(E21=1,0.7,1-0.7),
          IF(F21=1,0.7,1-0.7),
          IF(G21=1,0.7,1-0.7)) * M21</f>
        <v>0.0011907</v>
      </c>
      <c r="K21" s="6" t="n">
        <f aca="false">PRODUCT(IF(B21=1,0.8,1-0.8),IF(A21=1,0.8,1-0.8),
          IF(C21=1,0.8,1-0.8),
          IF(D21=1,0.8,1-0.8),
          IF(E21=1,0.8,1-0.8),
          IF(F21=1,0.8,1-0.8),
          IF(G21=1,0.8,1-0.8)) * M21</f>
        <v>0.0002048</v>
      </c>
      <c r="L21" s="6" t="n">
        <f aca="false">PRODUCT(IF(B21=1,0.9,1-0.9), IF(A21=1,0.9,1-0.9),
          IF(C21=1,0.9,1-0.9),
          IF(D21=1,0.9,1-0.9),
          IF(E21=1,0.9,1-0.9),
          IF(F21=1,0.9,1-0.9),
          IF(G21=1,0.9,1-0.9)) * M21</f>
        <v>8.09999999999999E-006</v>
      </c>
      <c r="M21" s="2" t="n">
        <f aca="false">IF(C21=1,1,IF(AND(B21=1,A21=1,G21=1,D21=1),1,IF(AND(B21=1,A21=1,F21=1,D21=1,E21=1)
,1,0)))</f>
        <v>1</v>
      </c>
    </row>
    <row r="22" customFormat="false" ht="13.8" hidden="false" customHeight="false" outlineLevel="0" collapsed="false">
      <c r="A22" s="2" t="n">
        <v>0</v>
      </c>
      <c r="B22" s="2" t="n">
        <v>0</v>
      </c>
      <c r="C22" s="2" t="n">
        <v>1</v>
      </c>
      <c r="D22" s="2" t="n">
        <v>0</v>
      </c>
      <c r="E22" s="2" t="n">
        <v>0</v>
      </c>
      <c r="F22" s="2" t="n">
        <v>1</v>
      </c>
      <c r="G22" s="2" t="n">
        <v>0</v>
      </c>
      <c r="H22" s="1" t="n">
        <f aca="false"> ((($A22*$A$2)+(1-$A$2)*(1-$A22))* (($B22*$B$2)+(1-$B$2)*(1-$B22)) *(($C22*$C$2)+(1-
$C$2)*(1-$C22))* (($D22*$D$2)+(1-$D$2)*(1-$D22))* (($E22*$E$2)+(1-$E$2)*(1-$E22))*
(($F22*$F$2)+(1-$F$2)*(1-$F22))* (($G22*$G$2)+(1-$G$2)*(1-$G22)))*$M22</f>
        <v>0</v>
      </c>
      <c r="I22" s="6" t="n">
        <f aca="false">PRODUCT(IF(B22=1,0.6,1-0.6), IF(A22=1,0.6,1-0.6),
        IF(C22=1,0.6,1-0.6),
        IF(D22=1,0.6,1-0.6),
        IF(E22=1,0.6,1-0.6),
        IF(F22=1,0.6,1-0.6),
        IF(G22=1,0.6,1-0.6)) * M22</f>
        <v>0.0036864</v>
      </c>
      <c r="J22" s="6" t="n">
        <f aca="false">PRODUCT(IF(B22=1,0.7,1-0.7), IF(A22=1,0.7,1-0.7),
          IF(C22=1,0.7,1-0.7),
          IF(D22=1,0.7,1-0.7),
          IF(E22=1,0.7,1-0.7),
          IF(F22=1,0.7,1-0.7),
          IF(G22=1,0.7,1-0.7)) * M22</f>
        <v>0.0011907</v>
      </c>
      <c r="K22" s="6" t="n">
        <f aca="false">PRODUCT(IF(B22=1,0.8,1-0.8),IF(A22=1,0.8,1-0.8),
          IF(C22=1,0.8,1-0.8),
          IF(D22=1,0.8,1-0.8),
          IF(E22=1,0.8,1-0.8),
          IF(F22=1,0.8,1-0.8),
          IF(G22=1,0.8,1-0.8)) * M22</f>
        <v>0.0002048</v>
      </c>
      <c r="L22" s="6" t="n">
        <f aca="false">PRODUCT(IF(B22=1,0.9,1-0.9), IF(A22=1,0.9,1-0.9),
          IF(C22=1,0.9,1-0.9),
          IF(D22=1,0.9,1-0.9),
          IF(E22=1,0.9,1-0.9),
          IF(F22=1,0.9,1-0.9),
          IF(G22=1,0.9,1-0.9)) * M22</f>
        <v>8.09999999999999E-006</v>
      </c>
      <c r="M22" s="2" t="n">
        <f aca="false">IF(C22=1,1,IF(AND(B22=1,A22=1,G22=1,D22=1),1,IF(AND(B22=1,A22=1,F22=1,D22=1,E22=1)
,1,0)))</f>
        <v>1</v>
      </c>
    </row>
    <row r="23" customFormat="false" ht="13.8" hidden="false" customHeight="false" outlineLevel="0" collapsed="false">
      <c r="A23" s="2" t="n">
        <v>0</v>
      </c>
      <c r="B23" s="2" t="n">
        <v>0</v>
      </c>
      <c r="C23" s="2" t="n">
        <v>1</v>
      </c>
      <c r="D23" s="2" t="n">
        <v>0</v>
      </c>
      <c r="E23" s="2" t="n">
        <v>0</v>
      </c>
      <c r="F23" s="2" t="n">
        <v>1</v>
      </c>
      <c r="G23" s="2" t="n">
        <v>1</v>
      </c>
      <c r="H23" s="1" t="n">
        <f aca="false"> ((($A23*$A$2)+(1-$A$2)*(1-$A23))* (($B23*$B$2)+(1-$B$2)*(1-$B23)) *(($C23*$C$2)+(1-
$C$2)*(1-$C23))* (($D23*$D$2)+(1-$D$2)*(1-$D23))* (($E23*$E$2)+(1-$E$2)*(1-$E23))*
(($F23*$F$2)+(1-$F$2)*(1-$F23))* (($G23*$G$2)+(1-$G$2)*(1-$G23)))*$M23</f>
        <v>0.003969</v>
      </c>
      <c r="I23" s="6" t="n">
        <f aca="false">PRODUCT(IF(B23=1,0.6,1-0.6), IF(A23=1,0.6,1-0.6),
        IF(C23=1,0.6,1-0.6),
        IF(D23=1,0.6,1-0.6),
        IF(E23=1,0.6,1-0.6),
        IF(F23=1,0.6,1-0.6),
        IF(G23=1,0.6,1-0.6)) * M23</f>
        <v>0.0055296</v>
      </c>
      <c r="J23" s="6" t="n">
        <f aca="false">PRODUCT(IF(B23=1,0.7,1-0.7), IF(A23=1,0.7,1-0.7),
          IF(C23=1,0.7,1-0.7),
          IF(D23=1,0.7,1-0.7),
          IF(E23=1,0.7,1-0.7),
          IF(F23=1,0.7,1-0.7),
          IF(G23=1,0.7,1-0.7)) * M23</f>
        <v>0.0027783</v>
      </c>
      <c r="K23" s="6" t="n">
        <f aca="false">PRODUCT(IF(B23=1,0.8,1-0.8),IF(A23=1,0.8,1-0.8),
          IF(C23=1,0.8,1-0.8),
          IF(D23=1,0.8,1-0.8),
          IF(E23=1,0.8,1-0.8),
          IF(F23=1,0.8,1-0.8),
          IF(G23=1,0.8,1-0.8)) * M23</f>
        <v>0.0008192</v>
      </c>
      <c r="L23" s="6" t="n">
        <f aca="false">PRODUCT(IF(B23=1,0.9,1-0.9), IF(A23=1,0.9,1-0.9),
          IF(C23=1,0.9,1-0.9),
          IF(D23=1,0.9,1-0.9),
          IF(E23=1,0.9,1-0.9),
          IF(F23=1,0.9,1-0.9),
          IF(G23=1,0.9,1-0.9)) * M23</f>
        <v>7.28999999999999E-005</v>
      </c>
      <c r="M23" s="2" t="n">
        <f aca="false">IF(C23=1,1,IF(AND(B23=1,A23=1,G23=1,D23=1),1,IF(AND(B23=1,A23=1,F23=1,D23=1,E23=1)
,1,0)))</f>
        <v>1</v>
      </c>
    </row>
    <row r="24" customFormat="false" ht="13.8" hidden="false" customHeight="false" outlineLevel="0" collapsed="false">
      <c r="A24" s="2" t="n">
        <v>0</v>
      </c>
      <c r="B24" s="2" t="n">
        <v>0</v>
      </c>
      <c r="C24" s="2" t="n">
        <v>1</v>
      </c>
      <c r="D24" s="2" t="n">
        <v>0</v>
      </c>
      <c r="E24" s="2" t="n">
        <v>1</v>
      </c>
      <c r="F24" s="2" t="n">
        <v>0</v>
      </c>
      <c r="G24" s="2" t="n">
        <v>0</v>
      </c>
      <c r="H24" s="1" t="n">
        <f aca="false"> ((($A24*$A$2)+(1-$A$2)*(1-$A24))* (($B24*$B$2)+(1-$B$2)*(1-$B24)) *(($C24*$C$2)+(1-
$C$2)*(1-$C24))* (($D24*$D$2)+(1-$D$2)*(1-$D24))* (($E24*$E$2)+(1-$E$2)*(1-$E24))*
(($F24*$F$2)+(1-$F$2)*(1-$F24))* (($G24*$G$2)+(1-$G$2)*(1-$G24)))*$M24</f>
        <v>0</v>
      </c>
      <c r="I24" s="6" t="n">
        <f aca="false">PRODUCT(IF(B24=1,0.6,1-0.6), IF(A24=1,0.6,1-0.6),
        IF(C24=1,0.6,1-0.6),
        IF(D24=1,0.6,1-0.6),
        IF(E24=1,0.6,1-0.6),
        IF(F24=1,0.6,1-0.6),
        IF(G24=1,0.6,1-0.6)) * M24</f>
        <v>0.0036864</v>
      </c>
      <c r="J24" s="6" t="n">
        <f aca="false">PRODUCT(IF(B24=1,0.7,1-0.7), IF(A24=1,0.7,1-0.7),
          IF(C24=1,0.7,1-0.7),
          IF(D24=1,0.7,1-0.7),
          IF(E24=1,0.7,1-0.7),
          IF(F24=1,0.7,1-0.7),
          IF(G24=1,0.7,1-0.7)) * M24</f>
        <v>0.0011907</v>
      </c>
      <c r="K24" s="6" t="n">
        <f aca="false">PRODUCT(IF(B24=1,0.8,1-0.8),IF(A24=1,0.8,1-0.8),
          IF(C24=1,0.8,1-0.8),
          IF(D24=1,0.8,1-0.8),
          IF(E24=1,0.8,1-0.8),
          IF(F24=1,0.8,1-0.8),
          IF(G24=1,0.8,1-0.8)) * M24</f>
        <v>0.0002048</v>
      </c>
      <c r="L24" s="6" t="n">
        <f aca="false">PRODUCT(IF(B24=1,0.9,1-0.9), IF(A24=1,0.9,1-0.9),
          IF(C24=1,0.9,1-0.9),
          IF(D24=1,0.9,1-0.9),
          IF(E24=1,0.9,1-0.9),
          IF(F24=1,0.9,1-0.9),
          IF(G24=1,0.9,1-0.9)) * M24</f>
        <v>8.09999999999999E-006</v>
      </c>
      <c r="M24" s="2" t="n">
        <f aca="false">IF(C24=1,1,IF(AND(B24=1,A24=1,G24=1,D24=1),1,IF(AND(B24=1,A24=1,F24=1,D24=1,E24=1)
,1,0)))</f>
        <v>1</v>
      </c>
    </row>
    <row r="25" customFormat="false" ht="13.8" hidden="false" customHeight="false" outlineLevel="0" collapsed="false">
      <c r="A25" s="2" t="n">
        <v>0</v>
      </c>
      <c r="B25" s="2" t="n">
        <v>0</v>
      </c>
      <c r="C25" s="2" t="n">
        <v>1</v>
      </c>
      <c r="D25" s="2" t="n">
        <v>0</v>
      </c>
      <c r="E25" s="2" t="n">
        <v>1</v>
      </c>
      <c r="F25" s="2" t="n">
        <v>0</v>
      </c>
      <c r="G25" s="2" t="n">
        <v>1</v>
      </c>
      <c r="H25" s="1" t="n">
        <f aca="false"> ((($A25*$A$2)+(1-$A$2)*(1-$A25))* (($B25*$B$2)+(1-$B$2)*(1-$B25)) *(($C25*$C$2)+(1-
$C$2)*(1-$C25))* (($D25*$D$2)+(1-$D$2)*(1-$D25))* (($E25*$E$2)+(1-$E$2)*(1-$E25))*
(($F25*$F$2)+(1-$F$2)*(1-$F25))* (($G25*$G$2)+(1-$G$2)*(1-$G25)))*$M25</f>
        <v>0.003969</v>
      </c>
      <c r="I25" s="6" t="n">
        <f aca="false">PRODUCT(IF(B25=1,0.6,1-0.6), IF(A25=1,0.6,1-0.6),
        IF(C25=1,0.6,1-0.6),
        IF(D25=1,0.6,1-0.6),
        IF(E25=1,0.6,1-0.6),
        IF(F25=1,0.6,1-0.6),
        IF(G25=1,0.6,1-0.6)) * M25</f>
        <v>0.0055296</v>
      </c>
      <c r="J25" s="6" t="n">
        <f aca="false">PRODUCT(IF(B25=1,0.7,1-0.7), IF(A25=1,0.7,1-0.7),
          IF(C25=1,0.7,1-0.7),
          IF(D25=1,0.7,1-0.7),
          IF(E25=1,0.7,1-0.7),
          IF(F25=1,0.7,1-0.7),
          IF(G25=1,0.7,1-0.7)) * M25</f>
        <v>0.0027783</v>
      </c>
      <c r="K25" s="6" t="n">
        <f aca="false">PRODUCT(IF(B25=1,0.8,1-0.8),IF(A25=1,0.8,1-0.8),
          IF(C25=1,0.8,1-0.8),
          IF(D25=1,0.8,1-0.8),
          IF(E25=1,0.8,1-0.8),
          IF(F25=1,0.8,1-0.8),
          IF(G25=1,0.8,1-0.8)) * M25</f>
        <v>0.000819199999999999</v>
      </c>
      <c r="L25" s="6" t="n">
        <f aca="false">PRODUCT(IF(B25=1,0.9,1-0.9), IF(A25=1,0.9,1-0.9),
          IF(C25=1,0.9,1-0.9),
          IF(D25=1,0.9,1-0.9),
          IF(E25=1,0.9,1-0.9),
          IF(F25=1,0.9,1-0.9),
          IF(G25=1,0.9,1-0.9)) * M25</f>
        <v>7.28999999999999E-005</v>
      </c>
      <c r="M25" s="2" t="n">
        <f aca="false">IF(C25=1,1,IF(AND(B25=1,A25=1,G25=1,D25=1),1,IF(AND(B25=1,A25=1,F25=1,D25=1,E25=1)
,1,0)))</f>
        <v>1</v>
      </c>
    </row>
    <row r="26" customFormat="false" ht="13.8" hidden="false" customHeight="false" outlineLevel="0" collapsed="false">
      <c r="A26" s="2" t="n">
        <v>0</v>
      </c>
      <c r="B26" s="2" t="n">
        <v>0</v>
      </c>
      <c r="C26" s="2" t="n">
        <v>1</v>
      </c>
      <c r="D26" s="2" t="n">
        <v>0</v>
      </c>
      <c r="E26" s="2" t="n">
        <v>1</v>
      </c>
      <c r="F26" s="2" t="n">
        <v>1</v>
      </c>
      <c r="G26" s="2" t="n">
        <v>0</v>
      </c>
      <c r="H26" s="1" t="n">
        <f aca="false"> ((($A26*$A$2)+(1-$A$2)*(1-$A26))* (($B26*$B$2)+(1-$B$2)*(1-$B26)) *(($C26*$C$2)+(1-
$C$2)*(1-$C26))* (($D26*$D$2)+(1-$D$2)*(1-$D26))* (($E26*$E$2)+(1-$E$2)*(1-$E26))*
(($F26*$F$2)+(1-$F$2)*(1-$F26))* (($G26*$G$2)+(1-$G$2)*(1-$G26)))*$M26</f>
        <v>0</v>
      </c>
      <c r="I26" s="6" t="n">
        <f aca="false">PRODUCT(IF(B26=1,0.6,1-0.6), IF(A26=1,0.6,1-0.6),
        IF(C26=1,0.6,1-0.6),
        IF(D26=1,0.6,1-0.6),
        IF(E26=1,0.6,1-0.6),
        IF(F26=1,0.6,1-0.6),
        IF(G26=1,0.6,1-0.6)) * M26</f>
        <v>0.0055296</v>
      </c>
      <c r="J26" s="6" t="n">
        <f aca="false">PRODUCT(IF(B26=1,0.7,1-0.7), IF(A26=1,0.7,1-0.7),
          IF(C26=1,0.7,1-0.7),
          IF(D26=1,0.7,1-0.7),
          IF(E26=1,0.7,1-0.7),
          IF(F26=1,0.7,1-0.7),
          IF(G26=1,0.7,1-0.7)) * M26</f>
        <v>0.0027783</v>
      </c>
      <c r="K26" s="6" t="n">
        <f aca="false">PRODUCT(IF(B26=1,0.8,1-0.8),IF(A26=1,0.8,1-0.8),
          IF(C26=1,0.8,1-0.8),
          IF(D26=1,0.8,1-0.8),
          IF(E26=1,0.8,1-0.8),
          IF(F26=1,0.8,1-0.8),
          IF(G26=1,0.8,1-0.8)) * M26</f>
        <v>0.000819199999999999</v>
      </c>
      <c r="L26" s="6" t="n">
        <f aca="false">PRODUCT(IF(B26=1,0.9,1-0.9), IF(A26=1,0.9,1-0.9),
          IF(C26=1,0.9,1-0.9),
          IF(D26=1,0.9,1-0.9),
          IF(E26=1,0.9,1-0.9),
          IF(F26=1,0.9,1-0.9),
          IF(G26=1,0.9,1-0.9)) * M26</f>
        <v>7.28999999999999E-005</v>
      </c>
      <c r="M26" s="2" t="n">
        <f aca="false">IF(C26=1,1,IF(AND(B26=1,A26=1,G26=1,D26=1),1,IF(AND(B26=1,A26=1,F26=1,D26=1,E26=1)
,1,0)))</f>
        <v>1</v>
      </c>
    </row>
    <row r="27" customFormat="false" ht="13.8" hidden="false" customHeight="false" outlineLevel="0" collapsed="false">
      <c r="A27" s="2" t="n">
        <v>0</v>
      </c>
      <c r="B27" s="2" t="n">
        <v>0</v>
      </c>
      <c r="C27" s="2" t="n">
        <v>1</v>
      </c>
      <c r="D27" s="2" t="n">
        <v>0</v>
      </c>
      <c r="E27" s="2" t="n">
        <v>1</v>
      </c>
      <c r="F27" s="2" t="n">
        <v>1</v>
      </c>
      <c r="G27" s="2" t="n">
        <v>1</v>
      </c>
      <c r="H27" s="1" t="n">
        <f aca="false"> ((($A27*$A$2)+(1-$A$2)*(1-$A27))* (($B27*$B$2)+(1-$B$2)*(1-$B27)) *(($C27*$C$2)+(1-
$C$2)*(1-$C27))* (($D27*$D$2)+(1-$D$2)*(1-$D27))* (($E27*$E$2)+(1-$E$2)*(1-$E27))*
(($F27*$F$2)+(1-$F$2)*(1-$F27))* (($G27*$G$2)+(1-$G$2)*(1-$G27)))*$M27</f>
        <v>0.009261</v>
      </c>
      <c r="I27" s="6" t="n">
        <f aca="false">PRODUCT(IF(B27=1,0.6,1-0.6), IF(A27=1,0.6,1-0.6),
        IF(C27=1,0.6,1-0.6),
        IF(D27=1,0.6,1-0.6),
        IF(E27=1,0.6,1-0.6),
        IF(F27=1,0.6,1-0.6),
        IF(G27=1,0.6,1-0.6)) * M27</f>
        <v>0.0082944</v>
      </c>
      <c r="J27" s="6" t="n">
        <f aca="false">PRODUCT(IF(B27=1,0.7,1-0.7), IF(A27=1,0.7,1-0.7),
          IF(C27=1,0.7,1-0.7),
          IF(D27=1,0.7,1-0.7),
          IF(E27=1,0.7,1-0.7),
          IF(F27=1,0.7,1-0.7),
          IF(G27=1,0.7,1-0.7)) * M27</f>
        <v>0.0064827</v>
      </c>
      <c r="K27" s="6" t="n">
        <f aca="false">PRODUCT(IF(B27=1,0.8,1-0.8),IF(A27=1,0.8,1-0.8),
          IF(C27=1,0.8,1-0.8),
          IF(D27=1,0.8,1-0.8),
          IF(E27=1,0.8,1-0.8),
          IF(F27=1,0.8,1-0.8),
          IF(G27=1,0.8,1-0.8)) * M27</f>
        <v>0.0032768</v>
      </c>
      <c r="L27" s="6" t="n">
        <f aca="false">PRODUCT(IF(B27=1,0.9,1-0.9), IF(A27=1,0.9,1-0.9),
          IF(C27=1,0.9,1-0.9),
          IF(D27=1,0.9,1-0.9),
          IF(E27=1,0.9,1-0.9),
          IF(F27=1,0.9,1-0.9),
          IF(G27=1,0.9,1-0.9)) * M27</f>
        <v>0.0006561</v>
      </c>
      <c r="M27" s="2" t="n">
        <f aca="false">IF(C27=1,1,IF(AND(B27=1,A27=1,G27=1,D27=1),1,IF(AND(B27=1,A27=1,F27=1,D27=1,E27=1)
,1,0)))</f>
        <v>1</v>
      </c>
    </row>
    <row r="28" customFormat="false" ht="13.8" hidden="false" customHeight="false" outlineLevel="0" collapsed="false">
      <c r="A28" s="2" t="n">
        <v>0</v>
      </c>
      <c r="B28" s="2" t="n">
        <v>0</v>
      </c>
      <c r="C28" s="2" t="n">
        <v>1</v>
      </c>
      <c r="D28" s="2" t="n">
        <v>1</v>
      </c>
      <c r="E28" s="2" t="n">
        <v>0</v>
      </c>
      <c r="F28" s="2" t="n">
        <v>0</v>
      </c>
      <c r="G28" s="2" t="n">
        <v>0</v>
      </c>
      <c r="H28" s="1" t="n">
        <f aca="false"> ((($A28*$A$2)+(1-$A$2)*(1-$A28))* (($B28*$B$2)+(1-$B$2)*(1-$B28)) *(($C28*$C$2)+(1-
$C$2)*(1-$C28))* (($D28*$D$2)+(1-$D$2)*(1-$D28))* (($E28*$E$2)+(1-$E$2)*(1-$E28))*
(($F28*$F$2)+(1-$F$2)*(1-$F28))* (($G28*$G$2)+(1-$G$2)*(1-$G28)))*$M28</f>
        <v>0</v>
      </c>
      <c r="I28" s="6" t="n">
        <f aca="false">PRODUCT(IF(B28=1,0.6,1-0.6), IF(A28=1,0.6,1-0.6),
        IF(C28=1,0.6,1-0.6),
        IF(D28=1,0.6,1-0.6),
        IF(E28=1,0.6,1-0.6),
        IF(F28=1,0.6,1-0.6),
        IF(G28=1,0.6,1-0.6)) * M28</f>
        <v>0.0036864</v>
      </c>
      <c r="J28" s="6" t="n">
        <f aca="false">PRODUCT(IF(B28=1,0.7,1-0.7), IF(A28=1,0.7,1-0.7),
          IF(C28=1,0.7,1-0.7),
          IF(D28=1,0.7,1-0.7),
          IF(E28=1,0.7,1-0.7),
          IF(F28=1,0.7,1-0.7),
          IF(G28=1,0.7,1-0.7)) * M28</f>
        <v>0.0011907</v>
      </c>
      <c r="K28" s="6" t="n">
        <f aca="false">PRODUCT(IF(B28=1,0.8,1-0.8),IF(A28=1,0.8,1-0.8),
          IF(C28=1,0.8,1-0.8),
          IF(D28=1,0.8,1-0.8),
          IF(E28=1,0.8,1-0.8),
          IF(F28=1,0.8,1-0.8),
          IF(G28=1,0.8,1-0.8)) * M28</f>
        <v>0.0002048</v>
      </c>
      <c r="L28" s="6" t="n">
        <f aca="false">PRODUCT(IF(B28=1,0.9,1-0.9), IF(A28=1,0.9,1-0.9),
          IF(C28=1,0.9,1-0.9),
          IF(D28=1,0.9,1-0.9),
          IF(E28=1,0.9,1-0.9),
          IF(F28=1,0.9,1-0.9),
          IF(G28=1,0.9,1-0.9)) * M28</f>
        <v>8.09999999999999E-006</v>
      </c>
      <c r="M28" s="2" t="n">
        <f aca="false">IF(C28=1,1,IF(AND(B28=1,A28=1,G28=1,D28=1),1,IF(AND(B28=1,A28=1,F28=1,D28=1,E28=1)
,1,0)))</f>
        <v>1</v>
      </c>
    </row>
    <row r="29" customFormat="false" ht="13.8" hidden="false" customHeight="false" outlineLevel="0" collapsed="false">
      <c r="A29" s="2" t="n">
        <v>0</v>
      </c>
      <c r="B29" s="2" t="n">
        <v>0</v>
      </c>
      <c r="C29" s="2" t="n">
        <v>1</v>
      </c>
      <c r="D29" s="2" t="n">
        <v>1</v>
      </c>
      <c r="E29" s="2" t="n">
        <v>0</v>
      </c>
      <c r="F29" s="2" t="n">
        <v>0</v>
      </c>
      <c r="G29" s="2" t="n">
        <v>1</v>
      </c>
      <c r="H29" s="1" t="n">
        <f aca="false"> ((($A29*$A$2)+(1-$A$2)*(1-$A29))* (($B29*$B$2)+(1-$B$2)*(1-$B29)) *(($C29*$C$2)+(1-
$C$2)*(1-$C29))* (($D29*$D$2)+(1-$D$2)*(1-$D29))* (($E29*$E$2)+(1-$E$2)*(1-$E29))*
(($F29*$F$2)+(1-$F$2)*(1-$F29))* (($G29*$G$2)+(1-$G$2)*(1-$G29)))*$M29</f>
        <v>0.003969</v>
      </c>
      <c r="I29" s="6" t="n">
        <f aca="false">PRODUCT(IF(B29=1,0.6,1-0.6), IF(A29=1,0.6,1-0.6),
        IF(C29=1,0.6,1-0.6),
        IF(D29=1,0.6,1-0.6),
        IF(E29=1,0.6,1-0.6),
        IF(F29=1,0.6,1-0.6),
        IF(G29=1,0.6,1-0.6)) * M29</f>
        <v>0.0055296</v>
      </c>
      <c r="J29" s="6" t="n">
        <f aca="false">PRODUCT(IF(B29=1,0.7,1-0.7), IF(A29=1,0.7,1-0.7),
          IF(C29=1,0.7,1-0.7),
          IF(D29=1,0.7,1-0.7),
          IF(E29=1,0.7,1-0.7),
          IF(F29=1,0.7,1-0.7),
          IF(G29=1,0.7,1-0.7)) * M29</f>
        <v>0.0027783</v>
      </c>
      <c r="K29" s="6" t="n">
        <f aca="false">PRODUCT(IF(B29=1,0.8,1-0.8),IF(A29=1,0.8,1-0.8),
          IF(C29=1,0.8,1-0.8),
          IF(D29=1,0.8,1-0.8),
          IF(E29=1,0.8,1-0.8),
          IF(F29=1,0.8,1-0.8),
          IF(G29=1,0.8,1-0.8)) * M29</f>
        <v>0.000819199999999999</v>
      </c>
      <c r="L29" s="6" t="n">
        <f aca="false">PRODUCT(IF(B29=1,0.9,1-0.9), IF(A29=1,0.9,1-0.9),
          IF(C29=1,0.9,1-0.9),
          IF(D29=1,0.9,1-0.9),
          IF(E29=1,0.9,1-0.9),
          IF(F29=1,0.9,1-0.9),
          IF(G29=1,0.9,1-0.9)) * M29</f>
        <v>7.28999999999999E-005</v>
      </c>
      <c r="M29" s="2" t="n">
        <f aca="false">IF(C29=1,1,IF(AND(B29=1,A29=1,G29=1,D29=1),1,IF(AND(B29=1,A29=1,F29=1,D29=1,E29=1)
,1,0)))</f>
        <v>1</v>
      </c>
    </row>
    <row r="30" customFormat="false" ht="13.8" hidden="false" customHeight="false" outlineLevel="0" collapsed="false">
      <c r="A30" s="2" t="n">
        <v>0</v>
      </c>
      <c r="B30" s="2" t="n">
        <v>0</v>
      </c>
      <c r="C30" s="2" t="n">
        <v>1</v>
      </c>
      <c r="D30" s="2" t="n">
        <v>1</v>
      </c>
      <c r="E30" s="2" t="n">
        <v>0</v>
      </c>
      <c r="F30" s="2" t="n">
        <v>1</v>
      </c>
      <c r="G30" s="2" t="n">
        <v>0</v>
      </c>
      <c r="H30" s="1" t="n">
        <f aca="false"> ((($A30*$A$2)+(1-$A$2)*(1-$A30))* (($B30*$B$2)+(1-$B$2)*(1-$B30)) *(($C30*$C$2)+(1-
$C$2)*(1-$C30))* (($D30*$D$2)+(1-$D$2)*(1-$D30))* (($E30*$E$2)+(1-$E$2)*(1-$E30))*
(($F30*$F$2)+(1-$F$2)*(1-$F30))* (($G30*$G$2)+(1-$G$2)*(1-$G30)))*$M30</f>
        <v>0</v>
      </c>
      <c r="I30" s="6" t="n">
        <f aca="false">PRODUCT(IF(B30=1,0.6,1-0.6), IF(A30=1,0.6,1-0.6),
        IF(C30=1,0.6,1-0.6),
        IF(D30=1,0.6,1-0.6),
        IF(E30=1,0.6,1-0.6),
        IF(F30=1,0.6,1-0.6),
        IF(G30=1,0.6,1-0.6)) * M30</f>
        <v>0.0055296</v>
      </c>
      <c r="J30" s="6" t="n">
        <f aca="false">PRODUCT(IF(B30=1,0.7,1-0.7), IF(A30=1,0.7,1-0.7),
          IF(C30=1,0.7,1-0.7),
          IF(D30=1,0.7,1-0.7),
          IF(E30=1,0.7,1-0.7),
          IF(F30=1,0.7,1-0.7),
          IF(G30=1,0.7,1-0.7)) * M30</f>
        <v>0.0027783</v>
      </c>
      <c r="K30" s="6" t="n">
        <f aca="false">PRODUCT(IF(B30=1,0.8,1-0.8),IF(A30=1,0.8,1-0.8),
          IF(C30=1,0.8,1-0.8),
          IF(D30=1,0.8,1-0.8),
          IF(E30=1,0.8,1-0.8),
          IF(F30=1,0.8,1-0.8),
          IF(G30=1,0.8,1-0.8)) * M30</f>
        <v>0.000819199999999999</v>
      </c>
      <c r="L30" s="6" t="n">
        <f aca="false">PRODUCT(IF(B30=1,0.9,1-0.9), IF(A30=1,0.9,1-0.9),
          IF(C30=1,0.9,1-0.9),
          IF(D30=1,0.9,1-0.9),
          IF(E30=1,0.9,1-0.9),
          IF(F30=1,0.9,1-0.9),
          IF(G30=1,0.9,1-0.9)) * M30</f>
        <v>7.28999999999999E-005</v>
      </c>
      <c r="M30" s="2" t="n">
        <f aca="false">IF(C30=1,1,IF(AND(B30=1,A30=1,G30=1,D30=1),1,IF(AND(B30=1,A30=1,F30=1,D30=1,E30=1)
,1,0)))</f>
        <v>1</v>
      </c>
    </row>
    <row r="31" customFormat="false" ht="13.8" hidden="false" customHeight="false" outlineLevel="0" collapsed="false">
      <c r="A31" s="2" t="n">
        <v>0</v>
      </c>
      <c r="B31" s="2" t="n">
        <v>0</v>
      </c>
      <c r="C31" s="2" t="n">
        <v>1</v>
      </c>
      <c r="D31" s="2" t="n">
        <v>1</v>
      </c>
      <c r="E31" s="2" t="n">
        <v>0</v>
      </c>
      <c r="F31" s="2" t="n">
        <v>1</v>
      </c>
      <c r="G31" s="2" t="n">
        <v>1</v>
      </c>
      <c r="H31" s="1" t="n">
        <f aca="false"> ((($A31*$A$2)+(1-$A$2)*(1-$A31))* (($B31*$B$2)+(1-$B$2)*(1-$B31)) *(($C31*$C$2)+(1-
$C$2)*(1-$C31))* (($D31*$D$2)+(1-$D$2)*(1-$D31))* (($E31*$E$2)+(1-$E$2)*(1-$E31))*
(($F31*$F$2)+(1-$F$2)*(1-$F31))* (($G31*$G$2)+(1-$G$2)*(1-$G31)))*$M31</f>
        <v>0.009261</v>
      </c>
      <c r="I31" s="6" t="n">
        <f aca="false">PRODUCT(IF(B31=1,0.6,1-0.6), IF(A31=1,0.6,1-0.6),
        IF(C31=1,0.6,1-0.6),
        IF(D31=1,0.6,1-0.6),
        IF(E31=1,0.6,1-0.6),
        IF(F31=1,0.6,1-0.6),
        IF(G31=1,0.6,1-0.6)) * M31</f>
        <v>0.0082944</v>
      </c>
      <c r="J31" s="6" t="n">
        <f aca="false">PRODUCT(IF(B31=1,0.7,1-0.7), IF(A31=1,0.7,1-0.7),
          IF(C31=1,0.7,1-0.7),
          IF(D31=1,0.7,1-0.7),
          IF(E31=1,0.7,1-0.7),
          IF(F31=1,0.7,1-0.7),
          IF(G31=1,0.7,1-0.7)) * M31</f>
        <v>0.0064827</v>
      </c>
      <c r="K31" s="6" t="n">
        <f aca="false">PRODUCT(IF(B31=1,0.8,1-0.8),IF(A31=1,0.8,1-0.8),
          IF(C31=1,0.8,1-0.8),
          IF(D31=1,0.8,1-0.8),
          IF(E31=1,0.8,1-0.8),
          IF(F31=1,0.8,1-0.8),
          IF(G31=1,0.8,1-0.8)) * M31</f>
        <v>0.0032768</v>
      </c>
      <c r="L31" s="6" t="n">
        <f aca="false">PRODUCT(IF(B31=1,0.9,1-0.9), IF(A31=1,0.9,1-0.9),
          IF(C31=1,0.9,1-0.9),
          IF(D31=1,0.9,1-0.9),
          IF(E31=1,0.9,1-0.9),
          IF(F31=1,0.9,1-0.9),
          IF(G31=1,0.9,1-0.9)) * M31</f>
        <v>0.0006561</v>
      </c>
      <c r="M31" s="2" t="n">
        <f aca="false">IF(C31=1,1,IF(AND(B31=1,A31=1,G31=1,D31=1),1,IF(AND(B31=1,A31=1,F31=1,D31=1,E31=1)
,1,0)))</f>
        <v>1</v>
      </c>
    </row>
    <row r="32" customFormat="false" ht="13.8" hidden="false" customHeight="false" outlineLevel="0" collapsed="false">
      <c r="A32" s="2" t="n">
        <v>0</v>
      </c>
      <c r="B32" s="2" t="n">
        <v>0</v>
      </c>
      <c r="C32" s="2" t="n">
        <v>1</v>
      </c>
      <c r="D32" s="2" t="n">
        <v>1</v>
      </c>
      <c r="E32" s="2" t="n">
        <v>1</v>
      </c>
      <c r="F32" s="2" t="n">
        <v>0</v>
      </c>
      <c r="G32" s="2" t="n">
        <v>0</v>
      </c>
      <c r="H32" s="1" t="n">
        <f aca="false"> ((($A32*$A$2)+(1-$A$2)*(1-$A32))* (($B32*$B$2)+(1-$B$2)*(1-$B32)) *(($C32*$C$2)+(1-
$C$2)*(1-$C32))* (($D32*$D$2)+(1-$D$2)*(1-$D32))* (($E32*$E$2)+(1-$E$2)*(1-$E32))*
(($F32*$F$2)+(1-$F$2)*(1-$F32))* (($G32*$G$2)+(1-$G$2)*(1-$G32)))*$M32</f>
        <v>0</v>
      </c>
      <c r="I32" s="6" t="n">
        <f aca="false">PRODUCT(IF(B32=1,0.6,1-0.6), IF(A32=1,0.6,1-0.6),
        IF(C32=1,0.6,1-0.6),
        IF(D32=1,0.6,1-0.6),
        IF(E32=1,0.6,1-0.6),
        IF(F32=1,0.6,1-0.6),
        IF(G32=1,0.6,1-0.6)) * M32</f>
        <v>0.0055296</v>
      </c>
      <c r="J32" s="6" t="n">
        <f aca="false">PRODUCT(IF(B32=1,0.7,1-0.7), IF(A32=1,0.7,1-0.7),
          IF(C32=1,0.7,1-0.7),
          IF(D32=1,0.7,1-0.7),
          IF(E32=1,0.7,1-0.7),
          IF(F32=1,0.7,1-0.7),
          IF(G32=1,0.7,1-0.7)) * M32</f>
        <v>0.0027783</v>
      </c>
      <c r="K32" s="6" t="n">
        <f aca="false">PRODUCT(IF(B32=1,0.8,1-0.8),IF(A32=1,0.8,1-0.8),
          IF(C32=1,0.8,1-0.8),
          IF(D32=1,0.8,1-0.8),
          IF(E32=1,0.8,1-0.8),
          IF(F32=1,0.8,1-0.8),
          IF(G32=1,0.8,1-0.8)) * M32</f>
        <v>0.000819199999999999</v>
      </c>
      <c r="L32" s="6" t="n">
        <f aca="false">PRODUCT(IF(B32=1,0.9,1-0.9), IF(A32=1,0.9,1-0.9),
          IF(C32=1,0.9,1-0.9),
          IF(D32=1,0.9,1-0.9),
          IF(E32=1,0.9,1-0.9),
          IF(F32=1,0.9,1-0.9),
          IF(G32=1,0.9,1-0.9)) * M32</f>
        <v>7.28999999999999E-005</v>
      </c>
      <c r="M32" s="2" t="n">
        <f aca="false">IF(C32=1,1,IF(AND(B32=1,A32=1,G32=1,D32=1),1,IF(AND(B32=1,A32=1,F32=1,D32=1,E32=1)
,1,0)))</f>
        <v>1</v>
      </c>
    </row>
    <row r="33" customFormat="false" ht="13.8" hidden="false" customHeight="false" outlineLevel="0" collapsed="false">
      <c r="A33" s="2" t="n">
        <v>0</v>
      </c>
      <c r="B33" s="2" t="n">
        <v>0</v>
      </c>
      <c r="C33" s="2" t="n">
        <v>1</v>
      </c>
      <c r="D33" s="2" t="n">
        <v>1</v>
      </c>
      <c r="E33" s="2" t="n">
        <v>1</v>
      </c>
      <c r="F33" s="2" t="n">
        <v>0</v>
      </c>
      <c r="G33" s="2" t="n">
        <v>1</v>
      </c>
      <c r="H33" s="1" t="n">
        <f aca="false"> ((($A33*$A$2)+(1-$A$2)*(1-$A33))* (($B33*$B$2)+(1-$B$2)*(1-$B33)) *(($C33*$C$2)+(1-
$C$2)*(1-$C33))* (($D33*$D$2)+(1-$D$2)*(1-$D33))* (($E33*$E$2)+(1-$E$2)*(1-$E33))*
(($F33*$F$2)+(1-$F$2)*(1-$F33))* (($G33*$G$2)+(1-$G$2)*(1-$G33)))*$M33</f>
        <v>0.009261</v>
      </c>
      <c r="I33" s="6" t="n">
        <f aca="false">PRODUCT(IF(B33=1,0.6,1-0.6), IF(A33=1,0.6,1-0.6),
        IF(C33=1,0.6,1-0.6),
        IF(D33=1,0.6,1-0.6),
        IF(E33=1,0.6,1-0.6),
        IF(F33=1,0.6,1-0.6),
        IF(G33=1,0.6,1-0.6)) * M33</f>
        <v>0.0082944</v>
      </c>
      <c r="J33" s="6" t="n">
        <f aca="false">PRODUCT(IF(B33=1,0.7,1-0.7), IF(A33=1,0.7,1-0.7),
          IF(C33=1,0.7,1-0.7),
          IF(D33=1,0.7,1-0.7),
          IF(E33=1,0.7,1-0.7),
          IF(F33=1,0.7,1-0.7),
          IF(G33=1,0.7,1-0.7)) * M33</f>
        <v>0.0064827</v>
      </c>
      <c r="K33" s="6" t="n">
        <f aca="false">PRODUCT(IF(B33=1,0.8,1-0.8),IF(A33=1,0.8,1-0.8),
          IF(C33=1,0.8,1-0.8),
          IF(D33=1,0.8,1-0.8),
          IF(E33=1,0.8,1-0.8),
          IF(F33=1,0.8,1-0.8),
          IF(G33=1,0.8,1-0.8)) * M33</f>
        <v>0.0032768</v>
      </c>
      <c r="L33" s="6" t="n">
        <f aca="false">PRODUCT(IF(B33=1,0.9,1-0.9), IF(A33=1,0.9,1-0.9),
          IF(C33=1,0.9,1-0.9),
          IF(D33=1,0.9,1-0.9),
          IF(E33=1,0.9,1-0.9),
          IF(F33=1,0.9,1-0.9),
          IF(G33=1,0.9,1-0.9)) * M33</f>
        <v>0.0006561</v>
      </c>
      <c r="M33" s="2" t="n">
        <f aca="false">IF(C33=1,1,IF(AND(B33=1,A33=1,G33=1,D33=1),1,IF(AND(B33=1,A33=1,F33=1,D33=1,E33=1)
,1,0)))</f>
        <v>1</v>
      </c>
    </row>
    <row r="34" customFormat="false" ht="13.8" hidden="false" customHeight="false" outlineLevel="0" collapsed="false">
      <c r="A34" s="2" t="n">
        <v>0</v>
      </c>
      <c r="B34" s="2" t="n">
        <v>0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0</v>
      </c>
      <c r="H34" s="1" t="n">
        <f aca="false"> ((($A34*$A$2)+(1-$A$2)*(1-$A34))* (($B34*$B$2)+(1-$B$2)*(1-$B34)) *(($C34*$C$2)+(1-
$C$2)*(1-$C34))* (($D34*$D$2)+(1-$D$2)*(1-$D34))* (($E34*$E$2)+(1-$E$2)*(1-$E34))*
(($F34*$F$2)+(1-$F$2)*(1-$F34))* (($G34*$G$2)+(1-$G$2)*(1-$G34)))*$M34</f>
        <v>0</v>
      </c>
      <c r="I34" s="6" t="n">
        <f aca="false">PRODUCT(IF(B34=1,0.6,1-0.6), IF(A34=1,0.6,1-0.6),
        IF(C34=1,0.6,1-0.6),
        IF(D34=1,0.6,1-0.6),
        IF(E34=1,0.6,1-0.6),
        IF(F34=1,0.6,1-0.6),
        IF(G34=1,0.6,1-0.6)) * M34</f>
        <v>0.0082944</v>
      </c>
      <c r="J34" s="6" t="n">
        <f aca="false">PRODUCT(IF(B34=1,0.7,1-0.7), IF(A34=1,0.7,1-0.7),
          IF(C34=1,0.7,1-0.7),
          IF(D34=1,0.7,1-0.7),
          IF(E34=1,0.7,1-0.7),
          IF(F34=1,0.7,1-0.7),
          IF(G34=1,0.7,1-0.7)) * M34</f>
        <v>0.0064827</v>
      </c>
      <c r="K34" s="6" t="n">
        <f aca="false">PRODUCT(IF(B34=1,0.8,1-0.8),IF(A34=1,0.8,1-0.8),
          IF(C34=1,0.8,1-0.8),
          IF(D34=1,0.8,1-0.8),
          IF(E34=1,0.8,1-0.8),
          IF(F34=1,0.8,1-0.8),
          IF(G34=1,0.8,1-0.8)) * M34</f>
        <v>0.0032768</v>
      </c>
      <c r="L34" s="6" t="n">
        <f aca="false">PRODUCT(IF(B34=1,0.9,1-0.9), IF(A34=1,0.9,1-0.9),
          IF(C34=1,0.9,1-0.9),
          IF(D34=1,0.9,1-0.9),
          IF(E34=1,0.9,1-0.9),
          IF(F34=1,0.9,1-0.9),
          IF(G34=1,0.9,1-0.9)) * M34</f>
        <v>0.0006561</v>
      </c>
      <c r="M34" s="2" t="n">
        <f aca="false">IF(C34=1,1,IF(AND(B34=1,A34=1,G34=1,D34=1),1,IF(AND(B34=1,A34=1,F34=1,D34=1,E34=1)
,1,0)))</f>
        <v>1</v>
      </c>
    </row>
    <row r="35" customFormat="false" ht="13.8" hidden="false" customHeight="false" outlineLevel="0" collapsed="false">
      <c r="A35" s="2" t="n">
        <v>0</v>
      </c>
      <c r="B35" s="2" t="n">
        <v>0</v>
      </c>
      <c r="C35" s="2" t="n">
        <v>1</v>
      </c>
      <c r="D35" s="2" t="n">
        <v>1</v>
      </c>
      <c r="E35" s="2" t="n">
        <v>1</v>
      </c>
      <c r="F35" s="2" t="n">
        <v>1</v>
      </c>
      <c r="G35" s="2" t="n">
        <v>1</v>
      </c>
      <c r="H35" s="1" t="n">
        <f aca="false"> ((($A35*$A$2)+(1-$A$2)*(1-$A35))* (($B35*$B$2)+(1-$B$2)*(1-$B35)) *(($C35*$C$2)+(1-
$C$2)*(1-$C35))* (($D35*$D$2)+(1-$D$2)*(1-$D35))* (($E35*$E$2)+(1-$E$2)*(1-$E35))*
(($F35*$F$2)+(1-$F$2)*(1-$F35))* (($G35*$G$2)+(1-$G$2)*(1-$G35)))*$M35</f>
        <v>0.021609</v>
      </c>
      <c r="I35" s="6" t="n">
        <f aca="false">PRODUCT(IF(B35=1,0.6,1-0.6), IF(A35=1,0.6,1-0.6),
        IF(C35=1,0.6,1-0.6),
        IF(D35=1,0.6,1-0.6),
        IF(E35=1,0.6,1-0.6),
        IF(F35=1,0.6,1-0.6),
        IF(G35=1,0.6,1-0.6)) * M35</f>
        <v>0.0124416</v>
      </c>
      <c r="J35" s="6" t="n">
        <f aca="false">PRODUCT(IF(B35=1,0.7,1-0.7), IF(A35=1,0.7,1-0.7),
          IF(C35=1,0.7,1-0.7),
          IF(D35=1,0.7,1-0.7),
          IF(E35=1,0.7,1-0.7),
          IF(F35=1,0.7,1-0.7),
          IF(G35=1,0.7,1-0.7)) * M35</f>
        <v>0.0151263</v>
      </c>
      <c r="K35" s="6" t="n">
        <f aca="false">PRODUCT(IF(B35=1,0.8,1-0.8),IF(A35=1,0.8,1-0.8),
          IF(C35=1,0.8,1-0.8),
          IF(D35=1,0.8,1-0.8),
          IF(E35=1,0.8,1-0.8),
          IF(F35=1,0.8,1-0.8),
          IF(G35=1,0.8,1-0.8)) * M35</f>
        <v>0.0131072</v>
      </c>
      <c r="L35" s="6" t="n">
        <f aca="false">PRODUCT(IF(B35=1,0.9,1-0.9), IF(A35=1,0.9,1-0.9),
          IF(C35=1,0.9,1-0.9),
          IF(D35=1,0.9,1-0.9),
          IF(E35=1,0.9,1-0.9),
          IF(F35=1,0.9,1-0.9),
          IF(G35=1,0.9,1-0.9)) * M35</f>
        <v>0.0059049</v>
      </c>
      <c r="M35" s="2" t="n">
        <f aca="false">IF(C35=1,1,IF(AND(B35=1,A35=1,G35=1,D35=1),1,IF(AND(B35=1,A35=1,F35=1,D35=1,E35=1)
,1,0)))</f>
        <v>1</v>
      </c>
    </row>
    <row r="36" customFormat="false" ht="13.8" hidden="false" customHeight="false" outlineLevel="0" collapsed="false">
      <c r="A36" s="2" t="n">
        <v>0</v>
      </c>
      <c r="B36" s="2" t="n">
        <v>1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1" t="n">
        <f aca="false"> ((($A36*$A$2)+(1-$A$2)*(1-$A36))* (($B36*$B$2)+(1-$B$2)*(1-$B36)) *(($C36*$C$2)+(1-
$C$2)*(1-$C36))* (($D36*$D$2)+(1-$D$2)*(1-$D36))* (($E36*$E$2)+(1-$E$2)*(1-$E36))*
(($F36*$F$2)+(1-$F$2)*(1-$F36))* (($G36*$G$2)+(1-$G$2)*(1-$G36)))*$M36</f>
        <v>0</v>
      </c>
      <c r="I36" s="6" t="n">
        <f aca="false">PRODUCT(IF(B36=1,0.6,1-0.6), IF(A36=1,0.6,1-0.6),
        IF(C36=1,0.6,1-0.6),
        IF(D36=1,0.6,1-0.6),
        IF(E36=1,0.6,1-0.6),
        IF(F36=1,0.6,1-0.6),
        IF(G36=1,0.6,1-0.6)) * M36</f>
        <v>0</v>
      </c>
      <c r="J36" s="6" t="n">
        <f aca="false">PRODUCT(IF(B36=1,0.7,1-0.7), IF(A36=1,0.7,1-0.7),
          IF(C36=1,0.7,1-0.7),
          IF(D36=1,0.7,1-0.7),
          IF(E36=1,0.7,1-0.7),
          IF(F36=1,0.7,1-0.7),
          IF(G36=1,0.7,1-0.7)) * M36</f>
        <v>0</v>
      </c>
      <c r="K36" s="6" t="n">
        <f aca="false">PRODUCT(IF(B36=1,0.8,1-0.8),IF(A36=1,0.8,1-0.8),
          IF(C36=1,0.8,1-0.8),
          IF(D36=1,0.8,1-0.8),
          IF(E36=1,0.8,1-0.8),
          IF(F36=1,0.8,1-0.8),
          IF(G36=1,0.8,1-0.8)) * M36</f>
        <v>0</v>
      </c>
      <c r="L36" s="6" t="n">
        <f aca="false">PRODUCT(IF(B36=1,0.9,1-0.9), IF(A36=1,0.9,1-0.9),
          IF(C36=1,0.9,1-0.9),
          IF(D36=1,0.9,1-0.9),
          IF(E36=1,0.9,1-0.9),
          IF(F36=1,0.9,1-0.9),
          IF(G36=1,0.9,1-0.9)) * M36</f>
        <v>0</v>
      </c>
      <c r="M36" s="2" t="n">
        <f aca="false">IF(C36=1,1,IF(AND(B36=1,A36=1,G36=1,D36=1),1,IF(AND(B36=1,A36=1,F36=1,D36=1,E36=1)
,1,0)))</f>
        <v>0</v>
      </c>
    </row>
    <row r="37" customFormat="false" ht="13.8" hidden="false" customHeight="false" outlineLevel="0" collapsed="false">
      <c r="A37" s="2" t="n">
        <v>0</v>
      </c>
      <c r="B37" s="2" t="n">
        <v>1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1</v>
      </c>
      <c r="H37" s="1" t="n">
        <f aca="false"> ((($A37*$A$2)+(1-$A$2)*(1-$A37))* (($B37*$B$2)+(1-$B$2)*(1-$B37)) *(($C37*$C$2)+(1-
$C$2)*(1-$C37))* (($D37*$D$2)+(1-$D$2)*(1-$D37))* (($E37*$E$2)+(1-$E$2)*(1-$E37))*
(($F37*$F$2)+(1-$F$2)*(1-$F37))* (($G37*$G$2)+(1-$G$2)*(1-$G37)))*$M37</f>
        <v>0</v>
      </c>
      <c r="I37" s="6" t="n">
        <f aca="false">PRODUCT(IF(B37=1,0.6,1-0.6), IF(A37=1,0.6,1-0.6),
        IF(C37=1,0.6,1-0.6),
        IF(D37=1,0.6,1-0.6),
        IF(E37=1,0.6,1-0.6),
        IF(F37=1,0.6,1-0.6),
        IF(G37=1,0.6,1-0.6)) * M37</f>
        <v>0</v>
      </c>
      <c r="J37" s="6" t="n">
        <f aca="false">PRODUCT(IF(B37=1,0.7,1-0.7), IF(A37=1,0.7,1-0.7),
          IF(C37=1,0.7,1-0.7),
          IF(D37=1,0.7,1-0.7),
          IF(E37=1,0.7,1-0.7),
          IF(F37=1,0.7,1-0.7),
          IF(G37=1,0.7,1-0.7)) * M37</f>
        <v>0</v>
      </c>
      <c r="K37" s="6" t="n">
        <f aca="false">PRODUCT(IF(B37=1,0.8,1-0.8),IF(A37=1,0.8,1-0.8),
          IF(C37=1,0.8,1-0.8),
          IF(D37=1,0.8,1-0.8),
          IF(E37=1,0.8,1-0.8),
          IF(F37=1,0.8,1-0.8),
          IF(G37=1,0.8,1-0.8)) * M37</f>
        <v>0</v>
      </c>
      <c r="L37" s="6" t="n">
        <f aca="false">PRODUCT(IF(B37=1,0.9,1-0.9), IF(A37=1,0.9,1-0.9),
          IF(C37=1,0.9,1-0.9),
          IF(D37=1,0.9,1-0.9),
          IF(E37=1,0.9,1-0.9),
          IF(F37=1,0.9,1-0.9),
          IF(G37=1,0.9,1-0.9)) * M37</f>
        <v>0</v>
      </c>
      <c r="M37" s="2" t="n">
        <f aca="false">IF(C37=1,1,IF(AND(B37=1,A37=1,G37=1,D37=1),1,IF(AND(B37=1,A37=1,F37=1,D37=1,E37=1)
,1,0)))</f>
        <v>0</v>
      </c>
    </row>
    <row r="38" customFormat="false" ht="13.8" hidden="false" customHeight="false" outlineLevel="0" collapsed="false">
      <c r="A38" s="2" t="n">
        <v>0</v>
      </c>
      <c r="B38" s="2" t="n">
        <v>1</v>
      </c>
      <c r="C38" s="2" t="n">
        <v>0</v>
      </c>
      <c r="D38" s="2" t="n">
        <v>0</v>
      </c>
      <c r="E38" s="2" t="n">
        <v>0</v>
      </c>
      <c r="F38" s="2" t="n">
        <v>1</v>
      </c>
      <c r="G38" s="2" t="n">
        <v>0</v>
      </c>
      <c r="H38" s="1" t="n">
        <f aca="false"> ((($A38*$A$2)+(1-$A$2)*(1-$A38))* (($B38*$B$2)+(1-$B$2)*(1-$B38)) *(($C38*$C$2)+(1-
$C$2)*(1-$C38))* (($D38*$D$2)+(1-$D$2)*(1-$D38))* (($E38*$E$2)+(1-$E$2)*(1-$E38))*
(($F38*$F$2)+(1-$F$2)*(1-$F38))* (($G38*$G$2)+(1-$G$2)*(1-$G38)))*$M38</f>
        <v>0</v>
      </c>
      <c r="I38" s="6" t="n">
        <f aca="false">PRODUCT(IF(B38=1,0.6,1-0.6), IF(A38=1,0.6,1-0.6),
        IF(C38=1,0.6,1-0.6),
        IF(D38=1,0.6,1-0.6),
        IF(E38=1,0.6,1-0.6),
        IF(F38=1,0.6,1-0.6),
        IF(G38=1,0.6,1-0.6)) * M38</f>
        <v>0</v>
      </c>
      <c r="J38" s="6" t="n">
        <f aca="false">PRODUCT(IF(B38=1,0.7,1-0.7), IF(A38=1,0.7,1-0.7),
          IF(C38=1,0.7,1-0.7),
          IF(D38=1,0.7,1-0.7),
          IF(E38=1,0.7,1-0.7),
          IF(F38=1,0.7,1-0.7),
          IF(G38=1,0.7,1-0.7)) * M38</f>
        <v>0</v>
      </c>
      <c r="K38" s="6" t="n">
        <f aca="false">PRODUCT(IF(B38=1,0.8,1-0.8),IF(A38=1,0.8,1-0.8),
          IF(C38=1,0.8,1-0.8),
          IF(D38=1,0.8,1-0.8),
          IF(E38=1,0.8,1-0.8),
          IF(F38=1,0.8,1-0.8),
          IF(G38=1,0.8,1-0.8)) * M38</f>
        <v>0</v>
      </c>
      <c r="L38" s="6" t="n">
        <f aca="false">PRODUCT(IF(B38=1,0.9,1-0.9), IF(A38=1,0.9,1-0.9),
          IF(C38=1,0.9,1-0.9),
          IF(D38=1,0.9,1-0.9),
          IF(E38=1,0.9,1-0.9),
          IF(F38=1,0.9,1-0.9),
          IF(G38=1,0.9,1-0.9)) * M38</f>
        <v>0</v>
      </c>
      <c r="M38" s="2" t="n">
        <f aca="false">IF(C38=1,1,IF(AND(B38=1,A38=1,G38=1,D38=1),1,IF(AND(B38=1,A38=1,F38=1,D38=1,E38=1)
,1,0)))</f>
        <v>0</v>
      </c>
    </row>
    <row r="39" customFormat="false" ht="13.8" hidden="false" customHeight="false" outlineLevel="0" collapsed="false">
      <c r="A39" s="2" t="n">
        <v>0</v>
      </c>
      <c r="B39" s="2" t="n">
        <v>1</v>
      </c>
      <c r="C39" s="2" t="n">
        <v>0</v>
      </c>
      <c r="D39" s="2" t="n">
        <v>0</v>
      </c>
      <c r="E39" s="2" t="n">
        <v>0</v>
      </c>
      <c r="F39" s="2" t="n">
        <v>1</v>
      </c>
      <c r="G39" s="2" t="n">
        <v>1</v>
      </c>
      <c r="H39" s="1" t="n">
        <f aca="false"> ((($A39*$A$2)+(1-$A$2)*(1-$A39))* (($B39*$B$2)+(1-$B$2)*(1-$B39)) *(($C39*$C$2)+(1-
$C$2)*(1-$C39))* (($D39*$D$2)+(1-$D$2)*(1-$D39))* (($E39*$E$2)+(1-$E$2)*(1-$E39))*
(($F39*$F$2)+(1-$F$2)*(1-$F39))* (($G39*$G$2)+(1-$G$2)*(1-$G39)))*$M39</f>
        <v>0</v>
      </c>
      <c r="I39" s="6" t="n">
        <f aca="false">PRODUCT(IF(B39=1,0.6,1-0.6), IF(A39=1,0.6,1-0.6),
        IF(C39=1,0.6,1-0.6),
        IF(D39=1,0.6,1-0.6),
        IF(E39=1,0.6,1-0.6),
        IF(F39=1,0.6,1-0.6),
        IF(G39=1,0.6,1-0.6)) * M39</f>
        <v>0</v>
      </c>
      <c r="J39" s="6" t="n">
        <f aca="false">PRODUCT(IF(B39=1,0.7,1-0.7), IF(A39=1,0.7,1-0.7),
          IF(C39=1,0.7,1-0.7),
          IF(D39=1,0.7,1-0.7),
          IF(E39=1,0.7,1-0.7),
          IF(F39=1,0.7,1-0.7),
          IF(G39=1,0.7,1-0.7)) * M39</f>
        <v>0</v>
      </c>
      <c r="K39" s="6" t="n">
        <f aca="false">PRODUCT(IF(B39=1,0.8,1-0.8),IF(A39=1,0.8,1-0.8),
          IF(C39=1,0.8,1-0.8),
          IF(D39=1,0.8,1-0.8),
          IF(E39=1,0.8,1-0.8),
          IF(F39=1,0.8,1-0.8),
          IF(G39=1,0.8,1-0.8)) * M39</f>
        <v>0</v>
      </c>
      <c r="L39" s="6" t="n">
        <f aca="false">PRODUCT(IF(B39=1,0.9,1-0.9), IF(A39=1,0.9,1-0.9),
          IF(C39=1,0.9,1-0.9),
          IF(D39=1,0.9,1-0.9),
          IF(E39=1,0.9,1-0.9),
          IF(F39=1,0.9,1-0.9),
          IF(G39=1,0.9,1-0.9)) * M39</f>
        <v>0</v>
      </c>
      <c r="M39" s="2" t="n">
        <f aca="false">IF(C39=1,1,IF(AND(B39=1,A39=1,G39=1,D39=1),1,IF(AND(B39=1,A39=1,F39=1,D39=1,E39=1)
,1,0)))</f>
        <v>0</v>
      </c>
    </row>
    <row r="40" customFormat="false" ht="13.8" hidden="false" customHeight="false" outlineLevel="0" collapsed="false">
      <c r="A40" s="2" t="n">
        <v>0</v>
      </c>
      <c r="B40" s="2" t="n">
        <v>1</v>
      </c>
      <c r="C40" s="2" t="n">
        <v>0</v>
      </c>
      <c r="D40" s="2" t="n">
        <v>0</v>
      </c>
      <c r="E40" s="2" t="n">
        <v>1</v>
      </c>
      <c r="F40" s="2" t="n">
        <v>0</v>
      </c>
      <c r="G40" s="2" t="n">
        <v>0</v>
      </c>
      <c r="H40" s="1" t="n">
        <f aca="false"> ((($A40*$A$2)+(1-$A$2)*(1-$A40))* (($B40*$B$2)+(1-$B$2)*(1-$B40)) *(($C40*$C$2)+(1-
$C$2)*(1-$C40))* (($D40*$D$2)+(1-$D$2)*(1-$D40))* (($E40*$E$2)+(1-$E$2)*(1-$E40))*
(($F40*$F$2)+(1-$F$2)*(1-$F40))* (($G40*$G$2)+(1-$G$2)*(1-$G40)))*$M40</f>
        <v>0</v>
      </c>
      <c r="I40" s="6" t="n">
        <f aca="false">PRODUCT(IF(B40=1,0.6,1-0.6), IF(A40=1,0.6,1-0.6),
        IF(C40=1,0.6,1-0.6),
        IF(D40=1,0.6,1-0.6),
        IF(E40=1,0.6,1-0.6),
        IF(F40=1,0.6,1-0.6),
        IF(G40=1,0.6,1-0.6)) * M40</f>
        <v>0</v>
      </c>
      <c r="J40" s="6" t="n">
        <f aca="false">PRODUCT(IF(B40=1,0.7,1-0.7), IF(A40=1,0.7,1-0.7),
          IF(C40=1,0.7,1-0.7),
          IF(D40=1,0.7,1-0.7),
          IF(E40=1,0.7,1-0.7),
          IF(F40=1,0.7,1-0.7),
          IF(G40=1,0.7,1-0.7)) * M40</f>
        <v>0</v>
      </c>
      <c r="K40" s="6" t="n">
        <f aca="false">PRODUCT(IF(B40=1,0.8,1-0.8),IF(A40=1,0.8,1-0.8),
          IF(C40=1,0.8,1-0.8),
          IF(D40=1,0.8,1-0.8),
          IF(E40=1,0.8,1-0.8),
          IF(F40=1,0.8,1-0.8),
          IF(G40=1,0.8,1-0.8)) * M40</f>
        <v>0</v>
      </c>
      <c r="L40" s="6" t="n">
        <f aca="false">PRODUCT(IF(B40=1,0.9,1-0.9), IF(A40=1,0.9,1-0.9),
          IF(C40=1,0.9,1-0.9),
          IF(D40=1,0.9,1-0.9),
          IF(E40=1,0.9,1-0.9),
          IF(F40=1,0.9,1-0.9),
          IF(G40=1,0.9,1-0.9)) * M40</f>
        <v>0</v>
      </c>
      <c r="M40" s="2" t="n">
        <f aca="false">IF(C40=1,1,IF(AND(B40=1,A40=1,G40=1,D40=1),1,IF(AND(B40=1,A40=1,F40=1,D40=1,E40=1)
,1,0)))</f>
        <v>0</v>
      </c>
    </row>
    <row r="41" customFormat="false" ht="13.8" hidden="false" customHeight="false" outlineLevel="0" collapsed="false">
      <c r="A41" s="2" t="n">
        <v>0</v>
      </c>
      <c r="B41" s="2" t="n">
        <v>1</v>
      </c>
      <c r="C41" s="2" t="n">
        <v>0</v>
      </c>
      <c r="D41" s="2" t="n">
        <v>0</v>
      </c>
      <c r="E41" s="2" t="n">
        <v>1</v>
      </c>
      <c r="F41" s="2" t="n">
        <v>0</v>
      </c>
      <c r="G41" s="2" t="n">
        <v>1</v>
      </c>
      <c r="H41" s="1" t="n">
        <f aca="false"> ((($A41*$A$2)+(1-$A$2)*(1-$A41))* (($B41*$B$2)+(1-$B$2)*(1-$B41)) *(($C41*$C$2)+(1-
$C$2)*(1-$C41))* (($D41*$D$2)+(1-$D$2)*(1-$D41))* (($E41*$E$2)+(1-$E$2)*(1-$E41))*
(($F41*$F$2)+(1-$F$2)*(1-$F41))* (($G41*$G$2)+(1-$G$2)*(1-$G41)))*$M41</f>
        <v>0</v>
      </c>
      <c r="I41" s="6" t="n">
        <f aca="false">PRODUCT(IF(B41=1,0.6,1-0.6), IF(A41=1,0.6,1-0.6),
        IF(C41=1,0.6,1-0.6),
        IF(D41=1,0.6,1-0.6),
        IF(E41=1,0.6,1-0.6),
        IF(F41=1,0.6,1-0.6),
        IF(G41=1,0.6,1-0.6)) * M41</f>
        <v>0</v>
      </c>
      <c r="J41" s="6" t="n">
        <f aca="false">PRODUCT(IF(B41=1,0.7,1-0.7), IF(A41=1,0.7,1-0.7),
          IF(C41=1,0.7,1-0.7),
          IF(D41=1,0.7,1-0.7),
          IF(E41=1,0.7,1-0.7),
          IF(F41=1,0.7,1-0.7),
          IF(G41=1,0.7,1-0.7)) * M41</f>
        <v>0</v>
      </c>
      <c r="K41" s="6" t="n">
        <f aca="false">PRODUCT(IF(B41=1,0.8,1-0.8),IF(A41=1,0.8,1-0.8),
          IF(C41=1,0.8,1-0.8),
          IF(D41=1,0.8,1-0.8),
          IF(E41=1,0.8,1-0.8),
          IF(F41=1,0.8,1-0.8),
          IF(G41=1,0.8,1-0.8)) * M41</f>
        <v>0</v>
      </c>
      <c r="L41" s="6" t="n">
        <f aca="false">PRODUCT(IF(B41=1,0.9,1-0.9), IF(A41=1,0.9,1-0.9),
          IF(C41=1,0.9,1-0.9),
          IF(D41=1,0.9,1-0.9),
          IF(E41=1,0.9,1-0.9),
          IF(F41=1,0.9,1-0.9),
          IF(G41=1,0.9,1-0.9)) * M41</f>
        <v>0</v>
      </c>
      <c r="M41" s="2" t="n">
        <f aca="false">IF(C41=1,1,IF(AND(B41=1,A41=1,G41=1,D41=1),1,IF(AND(B41=1,A41=1,F41=1,D41=1,E41=1)
,1,0)))</f>
        <v>0</v>
      </c>
    </row>
    <row r="42" customFormat="false" ht="13.8" hidden="false" customHeight="false" outlineLevel="0" collapsed="false">
      <c r="A42" s="2" t="n">
        <v>0</v>
      </c>
      <c r="B42" s="2" t="n">
        <v>1</v>
      </c>
      <c r="C42" s="2" t="n">
        <v>0</v>
      </c>
      <c r="D42" s="2" t="n">
        <v>0</v>
      </c>
      <c r="E42" s="2" t="n">
        <v>1</v>
      </c>
      <c r="F42" s="2" t="n">
        <v>1</v>
      </c>
      <c r="G42" s="2" t="n">
        <v>0</v>
      </c>
      <c r="H42" s="1" t="n">
        <f aca="false"> ((($A42*$A$2)+(1-$A$2)*(1-$A42))* (($B42*$B$2)+(1-$B$2)*(1-$B42)) *(($C42*$C$2)+(1-
$C$2)*(1-$C42))* (($D42*$D$2)+(1-$D$2)*(1-$D42))* (($E42*$E$2)+(1-$E$2)*(1-$E42))*
(($F42*$F$2)+(1-$F$2)*(1-$F42))* (($G42*$G$2)+(1-$G$2)*(1-$G42)))*$M42</f>
        <v>0</v>
      </c>
      <c r="I42" s="6" t="n">
        <f aca="false">PRODUCT(IF(B42=1,0.6,1-0.6), IF(A42=1,0.6,1-0.6),
        IF(C42=1,0.6,1-0.6),
        IF(D42=1,0.6,1-0.6),
        IF(E42=1,0.6,1-0.6),
        IF(F42=1,0.6,1-0.6),
        IF(G42=1,0.6,1-0.6)) * M42</f>
        <v>0</v>
      </c>
      <c r="J42" s="6" t="n">
        <f aca="false">PRODUCT(IF(B42=1,0.7,1-0.7), IF(A42=1,0.7,1-0.7),
          IF(C42=1,0.7,1-0.7),
          IF(D42=1,0.7,1-0.7),
          IF(E42=1,0.7,1-0.7),
          IF(F42=1,0.7,1-0.7),
          IF(G42=1,0.7,1-0.7)) * M42</f>
        <v>0</v>
      </c>
      <c r="K42" s="6" t="n">
        <f aca="false">PRODUCT(IF(B42=1,0.8,1-0.8),IF(A42=1,0.8,1-0.8),
          IF(C42=1,0.8,1-0.8),
          IF(D42=1,0.8,1-0.8),
          IF(E42=1,0.8,1-0.8),
          IF(F42=1,0.8,1-0.8),
          IF(G42=1,0.8,1-0.8)) * M42</f>
        <v>0</v>
      </c>
      <c r="L42" s="6" t="n">
        <f aca="false">PRODUCT(IF(B42=1,0.9,1-0.9), IF(A42=1,0.9,1-0.9),
          IF(C42=1,0.9,1-0.9),
          IF(D42=1,0.9,1-0.9),
          IF(E42=1,0.9,1-0.9),
          IF(F42=1,0.9,1-0.9),
          IF(G42=1,0.9,1-0.9)) * M42</f>
        <v>0</v>
      </c>
      <c r="M42" s="2" t="n">
        <f aca="false">IF(C42=1,1,IF(AND(B42=1,A42=1,G42=1,D42=1),1,IF(AND(B42=1,A42=1,F42=1,D42=1,E42=1)
,1,0)))</f>
        <v>0</v>
      </c>
    </row>
    <row r="43" customFormat="false" ht="13.8" hidden="false" customHeight="false" outlineLevel="0" collapsed="false">
      <c r="A43" s="2" t="n">
        <v>0</v>
      </c>
      <c r="B43" s="2" t="n">
        <v>1</v>
      </c>
      <c r="C43" s="2" t="n">
        <v>0</v>
      </c>
      <c r="D43" s="2" t="n">
        <v>0</v>
      </c>
      <c r="E43" s="2" t="n">
        <v>1</v>
      </c>
      <c r="F43" s="2" t="n">
        <v>1</v>
      </c>
      <c r="G43" s="2" t="n">
        <v>1</v>
      </c>
      <c r="H43" s="1" t="n">
        <f aca="false"> ((($A43*$A$2)+(1-$A$2)*(1-$A43))* (($B43*$B$2)+(1-$B$2)*(1-$B43)) *(($C43*$C$2)+(1-
$C$2)*(1-$C43))* (($D43*$D$2)+(1-$D$2)*(1-$D43))* (($E43*$E$2)+(1-$E$2)*(1-$E43))*
(($F43*$F$2)+(1-$F$2)*(1-$F43))* (($G43*$G$2)+(1-$G$2)*(1-$G43)))*$M43</f>
        <v>0</v>
      </c>
      <c r="I43" s="6" t="n">
        <f aca="false">PRODUCT(IF(B43=1,0.6,1-0.6), IF(A43=1,0.6,1-0.6),
        IF(C43=1,0.6,1-0.6),
        IF(D43=1,0.6,1-0.6),
        IF(E43=1,0.6,1-0.6),
        IF(F43=1,0.6,1-0.6),
        IF(G43=1,0.6,1-0.6)) * M43</f>
        <v>0</v>
      </c>
      <c r="J43" s="6" t="n">
        <f aca="false">PRODUCT(IF(B43=1,0.7,1-0.7), IF(A43=1,0.7,1-0.7),
          IF(C43=1,0.7,1-0.7),
          IF(D43=1,0.7,1-0.7),
          IF(E43=1,0.7,1-0.7),
          IF(F43=1,0.7,1-0.7),
          IF(G43=1,0.7,1-0.7)) * M43</f>
        <v>0</v>
      </c>
      <c r="K43" s="6" t="n">
        <f aca="false">PRODUCT(IF(B43=1,0.8,1-0.8),IF(A43=1,0.8,1-0.8),
          IF(C43=1,0.8,1-0.8),
          IF(D43=1,0.8,1-0.8),
          IF(E43=1,0.8,1-0.8),
          IF(F43=1,0.8,1-0.8),
          IF(G43=1,0.8,1-0.8)) * M43</f>
        <v>0</v>
      </c>
      <c r="L43" s="6" t="n">
        <f aca="false">PRODUCT(IF(B43=1,0.9,1-0.9), IF(A43=1,0.9,1-0.9),
          IF(C43=1,0.9,1-0.9),
          IF(D43=1,0.9,1-0.9),
          IF(E43=1,0.9,1-0.9),
          IF(F43=1,0.9,1-0.9),
          IF(G43=1,0.9,1-0.9)) * M43</f>
        <v>0</v>
      </c>
      <c r="M43" s="2" t="n">
        <f aca="false">IF(C43=1,1,IF(AND(B43=1,A43=1,G43=1,D43=1),1,IF(AND(B43=1,A43=1,F43=1,D43=1,E43=1)
,1,0)))</f>
        <v>0</v>
      </c>
    </row>
    <row r="44" customFormat="false" ht="13.8" hidden="false" customHeight="false" outlineLevel="0" collapsed="false">
      <c r="A44" s="2" t="n">
        <v>0</v>
      </c>
      <c r="B44" s="2" t="n">
        <v>1</v>
      </c>
      <c r="C44" s="2" t="n">
        <v>0</v>
      </c>
      <c r="D44" s="2" t="n">
        <v>1</v>
      </c>
      <c r="E44" s="2" t="n">
        <v>0</v>
      </c>
      <c r="F44" s="2" t="n">
        <v>0</v>
      </c>
      <c r="G44" s="2" t="n">
        <v>0</v>
      </c>
      <c r="H44" s="1" t="n">
        <f aca="false"> ((($A44*$A$2)+(1-$A$2)*(1-$A44))* (($B44*$B$2)+(1-$B$2)*(1-$B44)) *(($C44*$C$2)+(1-
$C$2)*(1-$C44))* (($D44*$D$2)+(1-$D$2)*(1-$D44))* (($E44*$E$2)+(1-$E$2)*(1-$E44))*
(($F44*$F$2)+(1-$F$2)*(1-$F44))* (($G44*$G$2)+(1-$G$2)*(1-$G44)))*$M44</f>
        <v>0</v>
      </c>
      <c r="I44" s="6" t="n">
        <f aca="false">PRODUCT(IF(B44=1,0.6,1-0.6), IF(A44=1,0.6,1-0.6),
        IF(C44=1,0.6,1-0.6),
        IF(D44=1,0.6,1-0.6),
        IF(E44=1,0.6,1-0.6),
        IF(F44=1,0.6,1-0.6),
        IF(G44=1,0.6,1-0.6)) * M44</f>
        <v>0</v>
      </c>
      <c r="J44" s="6" t="n">
        <f aca="false">PRODUCT(IF(B44=1,0.7,1-0.7), IF(A44=1,0.7,1-0.7),
          IF(C44=1,0.7,1-0.7),
          IF(D44=1,0.7,1-0.7),
          IF(E44=1,0.7,1-0.7),
          IF(F44=1,0.7,1-0.7),
          IF(G44=1,0.7,1-0.7)) * M44</f>
        <v>0</v>
      </c>
      <c r="K44" s="6" t="n">
        <f aca="false">PRODUCT(IF(B44=1,0.8,1-0.8),IF(A44=1,0.8,1-0.8),
          IF(C44=1,0.8,1-0.8),
          IF(D44=1,0.8,1-0.8),
          IF(E44=1,0.8,1-0.8),
          IF(F44=1,0.8,1-0.8),
          IF(G44=1,0.8,1-0.8)) * M44</f>
        <v>0</v>
      </c>
      <c r="L44" s="6" t="n">
        <f aca="false">PRODUCT(IF(B44=1,0.9,1-0.9), IF(A44=1,0.9,1-0.9),
          IF(C44=1,0.9,1-0.9),
          IF(D44=1,0.9,1-0.9),
          IF(E44=1,0.9,1-0.9),
          IF(F44=1,0.9,1-0.9),
          IF(G44=1,0.9,1-0.9)) * M44</f>
        <v>0</v>
      </c>
      <c r="M44" s="2" t="n">
        <f aca="false">IF(C44=1,1,IF(AND(B44=1,A44=1,G44=1,D44=1),1,IF(AND(B44=1,A44=1,F44=1,D44=1,E44=1)
,1,0)))</f>
        <v>0</v>
      </c>
    </row>
    <row r="45" customFormat="false" ht="13.8" hidden="false" customHeight="false" outlineLevel="0" collapsed="false">
      <c r="A45" s="2" t="n">
        <v>0</v>
      </c>
      <c r="B45" s="2" t="n">
        <v>1</v>
      </c>
      <c r="C45" s="2" t="n">
        <v>0</v>
      </c>
      <c r="D45" s="2" t="n">
        <v>1</v>
      </c>
      <c r="E45" s="2" t="n">
        <v>0</v>
      </c>
      <c r="F45" s="2" t="n">
        <v>0</v>
      </c>
      <c r="G45" s="2" t="n">
        <v>1</v>
      </c>
      <c r="H45" s="1" t="n">
        <f aca="false"> ((($A45*$A$2)+(1-$A$2)*(1-$A45))* (($B45*$B$2)+(1-$B$2)*(1-$B45)) *(($C45*$C$2)+(1-
$C$2)*(1-$C45))* (($D45*$D$2)+(1-$D$2)*(1-$D45))* (($E45*$E$2)+(1-$E$2)*(1-$E45))*
(($F45*$F$2)+(1-$F$2)*(1-$F45))* (($G45*$G$2)+(1-$G$2)*(1-$G45)))*$M45</f>
        <v>0</v>
      </c>
      <c r="I45" s="6" t="n">
        <f aca="false">PRODUCT(IF(B45=1,0.6,1-0.6), IF(A45=1,0.6,1-0.6),
        IF(C45=1,0.6,1-0.6),
        IF(D45=1,0.6,1-0.6),
        IF(E45=1,0.6,1-0.6),
        IF(F45=1,0.6,1-0.6),
        IF(G45=1,0.6,1-0.6)) * M45</f>
        <v>0</v>
      </c>
      <c r="J45" s="6" t="n">
        <f aca="false">PRODUCT(IF(B45=1,0.7,1-0.7), IF(A45=1,0.7,1-0.7),
          IF(C45=1,0.7,1-0.7),
          IF(D45=1,0.7,1-0.7),
          IF(E45=1,0.7,1-0.7),
          IF(F45=1,0.7,1-0.7),
          IF(G45=1,0.7,1-0.7)) * M45</f>
        <v>0</v>
      </c>
      <c r="K45" s="6" t="n">
        <f aca="false">PRODUCT(IF(B45=1,0.8,1-0.8),IF(A45=1,0.8,1-0.8),
          IF(C45=1,0.8,1-0.8),
          IF(D45=1,0.8,1-0.8),
          IF(E45=1,0.8,1-0.8),
          IF(F45=1,0.8,1-0.8),
          IF(G45=1,0.8,1-0.8)) * M45</f>
        <v>0</v>
      </c>
      <c r="L45" s="6" t="n">
        <f aca="false">PRODUCT(IF(B45=1,0.9,1-0.9), IF(A45=1,0.9,1-0.9),
          IF(C45=1,0.9,1-0.9),
          IF(D45=1,0.9,1-0.9),
          IF(E45=1,0.9,1-0.9),
          IF(F45=1,0.9,1-0.9),
          IF(G45=1,0.9,1-0.9)) * M45</f>
        <v>0</v>
      </c>
      <c r="M45" s="2" t="n">
        <f aca="false">IF(C45=1,1,IF(AND(B45=1,A45=1,G45=1,D45=1),1,IF(AND(B45=1,A45=1,F45=1,D45=1,E45=1)
,1,0)))</f>
        <v>0</v>
      </c>
    </row>
    <row r="46" customFormat="false" ht="13.8" hidden="false" customHeight="false" outlineLevel="0" collapsed="false">
      <c r="A46" s="2" t="n">
        <v>0</v>
      </c>
      <c r="B46" s="2" t="n">
        <v>1</v>
      </c>
      <c r="C46" s="2" t="n">
        <v>0</v>
      </c>
      <c r="D46" s="2" t="n">
        <v>1</v>
      </c>
      <c r="E46" s="2" t="n">
        <v>0</v>
      </c>
      <c r="F46" s="2" t="n">
        <v>1</v>
      </c>
      <c r="G46" s="2" t="n">
        <v>0</v>
      </c>
      <c r="H46" s="1" t="n">
        <f aca="false"> ((($A46*$A$2)+(1-$A$2)*(1-$A46))* (($B46*$B$2)+(1-$B$2)*(1-$B46)) *(($C46*$C$2)+(1-
$C$2)*(1-$C46))* (($D46*$D$2)+(1-$D$2)*(1-$D46))* (($E46*$E$2)+(1-$E$2)*(1-$E46))*
(($F46*$F$2)+(1-$F$2)*(1-$F46))* (($G46*$G$2)+(1-$G$2)*(1-$G46)))*$M46</f>
        <v>0</v>
      </c>
      <c r="I46" s="6" t="n">
        <f aca="false">PRODUCT(IF(B46=1,0.6,1-0.6), IF(A46=1,0.6,1-0.6),
        IF(C46=1,0.6,1-0.6),
        IF(D46=1,0.6,1-0.6),
        IF(E46=1,0.6,1-0.6),
        IF(F46=1,0.6,1-0.6),
        IF(G46=1,0.6,1-0.6)) * M46</f>
        <v>0</v>
      </c>
      <c r="J46" s="6" t="n">
        <f aca="false">PRODUCT(IF(B46=1,0.7,1-0.7), IF(A46=1,0.7,1-0.7),
          IF(C46=1,0.7,1-0.7),
          IF(D46=1,0.7,1-0.7),
          IF(E46=1,0.7,1-0.7),
          IF(F46=1,0.7,1-0.7),
          IF(G46=1,0.7,1-0.7)) * M46</f>
        <v>0</v>
      </c>
      <c r="K46" s="6" t="n">
        <f aca="false">PRODUCT(IF(B46=1,0.8,1-0.8),IF(A46=1,0.8,1-0.8),
          IF(C46=1,0.8,1-0.8),
          IF(D46=1,0.8,1-0.8),
          IF(E46=1,0.8,1-0.8),
          IF(F46=1,0.8,1-0.8),
          IF(G46=1,0.8,1-0.8)) * M46</f>
        <v>0</v>
      </c>
      <c r="L46" s="6" t="n">
        <f aca="false">PRODUCT(IF(B46=1,0.9,1-0.9), IF(A46=1,0.9,1-0.9),
          IF(C46=1,0.9,1-0.9),
          IF(D46=1,0.9,1-0.9),
          IF(E46=1,0.9,1-0.9),
          IF(F46=1,0.9,1-0.9),
          IF(G46=1,0.9,1-0.9)) * M46</f>
        <v>0</v>
      </c>
      <c r="M46" s="2" t="n">
        <f aca="false">IF(C46=1,1,IF(AND(B46=1,A46=1,G46=1,D46=1),1,IF(AND(B46=1,A46=1,F46=1,D46=1,E46=1)
,1,0)))</f>
        <v>0</v>
      </c>
    </row>
    <row r="47" customFormat="false" ht="13.8" hidden="false" customHeight="false" outlineLevel="0" collapsed="false">
      <c r="A47" s="2" t="n">
        <v>0</v>
      </c>
      <c r="B47" s="2" t="n">
        <v>1</v>
      </c>
      <c r="C47" s="2" t="n">
        <v>0</v>
      </c>
      <c r="D47" s="2" t="n">
        <v>1</v>
      </c>
      <c r="E47" s="2" t="n">
        <v>0</v>
      </c>
      <c r="F47" s="2" t="n">
        <v>1</v>
      </c>
      <c r="G47" s="2" t="n">
        <v>1</v>
      </c>
      <c r="H47" s="1" t="n">
        <f aca="false"> ((($A47*$A$2)+(1-$A$2)*(1-$A47))* (($B47*$B$2)+(1-$B$2)*(1-$B47)) *(($C47*$C$2)+(1-
$C$2)*(1-$C47))* (($D47*$D$2)+(1-$D$2)*(1-$D47))* (($E47*$E$2)+(1-$E$2)*(1-$E47))*
(($F47*$F$2)+(1-$F$2)*(1-$F47))* (($G47*$G$2)+(1-$G$2)*(1-$G47)))*$M47</f>
        <v>0</v>
      </c>
      <c r="I47" s="6" t="n">
        <f aca="false">PRODUCT(IF(B47=1,0.6,1-0.6), IF(A47=1,0.6,1-0.6),
        IF(C47=1,0.6,1-0.6),
        IF(D47=1,0.6,1-0.6),
        IF(E47=1,0.6,1-0.6),
        IF(F47=1,0.6,1-0.6),
        IF(G47=1,0.6,1-0.6)) * M47</f>
        <v>0</v>
      </c>
      <c r="J47" s="6" t="n">
        <f aca="false">PRODUCT(IF(B47=1,0.7,1-0.7), IF(A47=1,0.7,1-0.7),
          IF(C47=1,0.7,1-0.7),
          IF(D47=1,0.7,1-0.7),
          IF(E47=1,0.7,1-0.7),
          IF(F47=1,0.7,1-0.7),
          IF(G47=1,0.7,1-0.7)) * M47</f>
        <v>0</v>
      </c>
      <c r="K47" s="6" t="n">
        <f aca="false">PRODUCT(IF(B47=1,0.8,1-0.8),IF(A47=1,0.8,1-0.8),
          IF(C47=1,0.8,1-0.8),
          IF(D47=1,0.8,1-0.8),
          IF(E47=1,0.8,1-0.8),
          IF(F47=1,0.8,1-0.8),
          IF(G47=1,0.8,1-0.8)) * M47</f>
        <v>0</v>
      </c>
      <c r="L47" s="6" t="n">
        <f aca="false">PRODUCT(IF(B47=1,0.9,1-0.9), IF(A47=1,0.9,1-0.9),
          IF(C47=1,0.9,1-0.9),
          IF(D47=1,0.9,1-0.9),
          IF(E47=1,0.9,1-0.9),
          IF(F47=1,0.9,1-0.9),
          IF(G47=1,0.9,1-0.9)) * M47</f>
        <v>0</v>
      </c>
      <c r="M47" s="2" t="n">
        <f aca="false">IF(C47=1,1,IF(AND(B47=1,A47=1,G47=1,D47=1),1,IF(AND(B47=1,A47=1,F47=1,D47=1,E47=1)
,1,0)))</f>
        <v>0</v>
      </c>
    </row>
    <row r="48" customFormat="false" ht="13.8" hidden="false" customHeight="false" outlineLevel="0" collapsed="false">
      <c r="A48" s="2" t="n">
        <v>0</v>
      </c>
      <c r="B48" s="2" t="n">
        <v>1</v>
      </c>
      <c r="C48" s="2" t="n">
        <v>0</v>
      </c>
      <c r="D48" s="2" t="n">
        <v>1</v>
      </c>
      <c r="E48" s="2" t="n">
        <v>1</v>
      </c>
      <c r="F48" s="2" t="n">
        <v>0</v>
      </c>
      <c r="G48" s="2" t="n">
        <v>0</v>
      </c>
      <c r="H48" s="1" t="n">
        <f aca="false"> ((($A48*$A$2)+(1-$A$2)*(1-$A48))* (($B48*$B$2)+(1-$B$2)*(1-$B48)) *(($C48*$C$2)+(1-
$C$2)*(1-$C48))* (($D48*$D$2)+(1-$D$2)*(1-$D48))* (($E48*$E$2)+(1-$E$2)*(1-$E48))*
(($F48*$F$2)+(1-$F$2)*(1-$F48))* (($G48*$G$2)+(1-$G$2)*(1-$G48)))*$M48</f>
        <v>0</v>
      </c>
      <c r="I48" s="6" t="n">
        <f aca="false">PRODUCT(IF(B48=1,0.6,1-0.6), IF(A48=1,0.6,1-0.6),
        IF(C48=1,0.6,1-0.6),
        IF(D48=1,0.6,1-0.6),
        IF(E48=1,0.6,1-0.6),
        IF(F48=1,0.6,1-0.6),
        IF(G48=1,0.6,1-0.6)) * M48</f>
        <v>0</v>
      </c>
      <c r="J48" s="6" t="n">
        <f aca="false">PRODUCT(IF(B48=1,0.7,1-0.7), IF(A48=1,0.7,1-0.7),
          IF(C48=1,0.7,1-0.7),
          IF(D48=1,0.7,1-0.7),
          IF(E48=1,0.7,1-0.7),
          IF(F48=1,0.7,1-0.7),
          IF(G48=1,0.7,1-0.7)) * M48</f>
        <v>0</v>
      </c>
      <c r="K48" s="6" t="n">
        <f aca="false">PRODUCT(IF(B48=1,0.8,1-0.8),IF(A48=1,0.8,1-0.8),
          IF(C48=1,0.8,1-0.8),
          IF(D48=1,0.8,1-0.8),
          IF(E48=1,0.8,1-0.8),
          IF(F48=1,0.8,1-0.8),
          IF(G48=1,0.8,1-0.8)) * M48</f>
        <v>0</v>
      </c>
      <c r="L48" s="6" t="n">
        <f aca="false">PRODUCT(IF(B48=1,0.9,1-0.9), IF(A48=1,0.9,1-0.9),
          IF(C48=1,0.9,1-0.9),
          IF(D48=1,0.9,1-0.9),
          IF(E48=1,0.9,1-0.9),
          IF(F48=1,0.9,1-0.9),
          IF(G48=1,0.9,1-0.9)) * M48</f>
        <v>0</v>
      </c>
      <c r="M48" s="2" t="n">
        <f aca="false">IF(C48=1,1,IF(AND(B48=1,A48=1,G48=1,D48=1),1,IF(AND(B48=1,A48=1,F48=1,D48=1,E48=1)
,1,0)))</f>
        <v>0</v>
      </c>
    </row>
    <row r="49" customFormat="false" ht="13.8" hidden="false" customHeight="false" outlineLevel="0" collapsed="false">
      <c r="A49" s="2" t="n">
        <v>0</v>
      </c>
      <c r="B49" s="2" t="n">
        <v>1</v>
      </c>
      <c r="C49" s="2" t="n">
        <v>0</v>
      </c>
      <c r="D49" s="2" t="n">
        <v>1</v>
      </c>
      <c r="E49" s="2" t="n">
        <v>1</v>
      </c>
      <c r="F49" s="2" t="n">
        <v>0</v>
      </c>
      <c r="G49" s="2" t="n">
        <v>1</v>
      </c>
      <c r="H49" s="1" t="n">
        <f aca="false"> ((($A49*$A$2)+(1-$A$2)*(1-$A49))* (($B49*$B$2)+(1-$B$2)*(1-$B49)) *(($C49*$C$2)+(1-
$C$2)*(1-$C49))* (($D49*$D$2)+(1-$D$2)*(1-$D49))* (($E49*$E$2)+(1-$E$2)*(1-$E49))*
(($F49*$F$2)+(1-$F$2)*(1-$F49))* (($G49*$G$2)+(1-$G$2)*(1-$G49)))*$M49</f>
        <v>0</v>
      </c>
      <c r="I49" s="6" t="n">
        <f aca="false">PRODUCT(IF(B49=1,0.6,1-0.6), IF(A49=1,0.6,1-0.6),
        IF(C49=1,0.6,1-0.6),
        IF(D49=1,0.6,1-0.6),
        IF(E49=1,0.6,1-0.6),
        IF(F49=1,0.6,1-0.6),
        IF(G49=1,0.6,1-0.6)) * M49</f>
        <v>0</v>
      </c>
      <c r="J49" s="6" t="n">
        <f aca="false">PRODUCT(IF(B49=1,0.7,1-0.7), IF(A49=1,0.7,1-0.7),
          IF(C49=1,0.7,1-0.7),
          IF(D49=1,0.7,1-0.7),
          IF(E49=1,0.7,1-0.7),
          IF(F49=1,0.7,1-0.7),
          IF(G49=1,0.7,1-0.7)) * M49</f>
        <v>0</v>
      </c>
      <c r="K49" s="6" t="n">
        <f aca="false">PRODUCT(IF(B49=1,0.8,1-0.8),IF(A49=1,0.8,1-0.8),
          IF(C49=1,0.8,1-0.8),
          IF(D49=1,0.8,1-0.8),
          IF(E49=1,0.8,1-0.8),
          IF(F49=1,0.8,1-0.8),
          IF(G49=1,0.8,1-0.8)) * M49</f>
        <v>0</v>
      </c>
      <c r="L49" s="6" t="n">
        <f aca="false">PRODUCT(IF(B49=1,0.9,1-0.9), IF(A49=1,0.9,1-0.9),
          IF(C49=1,0.9,1-0.9),
          IF(D49=1,0.9,1-0.9),
          IF(E49=1,0.9,1-0.9),
          IF(F49=1,0.9,1-0.9),
          IF(G49=1,0.9,1-0.9)) * M49</f>
        <v>0</v>
      </c>
      <c r="M49" s="2" t="n">
        <f aca="false">IF(C49=1,1,IF(AND(B49=1,A49=1,G49=1,D49=1),1,IF(AND(B49=1,A49=1,F49=1,D49=1,E49=1)
,1,0)))</f>
        <v>0</v>
      </c>
    </row>
    <row r="50" customFormat="false" ht="13.8" hidden="false" customHeight="false" outlineLevel="0" collapsed="false">
      <c r="A50" s="2" t="n">
        <v>0</v>
      </c>
      <c r="B50" s="2" t="n">
        <v>1</v>
      </c>
      <c r="C50" s="2" t="n">
        <v>0</v>
      </c>
      <c r="D50" s="2" t="n">
        <v>1</v>
      </c>
      <c r="E50" s="2" t="n">
        <v>1</v>
      </c>
      <c r="F50" s="2" t="n">
        <v>1</v>
      </c>
      <c r="G50" s="2" t="n">
        <v>0</v>
      </c>
      <c r="H50" s="1" t="n">
        <f aca="false"> ((($A50*$A$2)+(1-$A$2)*(1-$A50))* (($B50*$B$2)+(1-$B$2)*(1-$B50)) *(($C50*$C$2)+(1-
$C$2)*(1-$C50))* (($D50*$D$2)+(1-$D$2)*(1-$D50))* (($E50*$E$2)+(1-$E$2)*(1-$E50))*
(($F50*$F$2)+(1-$F$2)*(1-$F50))* (($G50*$G$2)+(1-$G$2)*(1-$G50)))*$M50</f>
        <v>0</v>
      </c>
      <c r="I50" s="6" t="n">
        <f aca="false">PRODUCT(IF(B50=1,0.6,1-0.6), IF(A50=1,0.6,1-0.6),
        IF(C50=1,0.6,1-0.6),
        IF(D50=1,0.6,1-0.6),
        IF(E50=1,0.6,1-0.6),
        IF(F50=1,0.6,1-0.6),
        IF(G50=1,0.6,1-0.6)) * M50</f>
        <v>0</v>
      </c>
      <c r="J50" s="6" t="n">
        <f aca="false">PRODUCT(IF(B50=1,0.7,1-0.7), IF(A50=1,0.7,1-0.7),
          IF(C50=1,0.7,1-0.7),
          IF(D50=1,0.7,1-0.7),
          IF(E50=1,0.7,1-0.7),
          IF(F50=1,0.7,1-0.7),
          IF(G50=1,0.7,1-0.7)) * M50</f>
        <v>0</v>
      </c>
      <c r="K50" s="6" t="n">
        <f aca="false">PRODUCT(IF(B50=1,0.8,1-0.8),IF(A50=1,0.8,1-0.8),
          IF(C50=1,0.8,1-0.8),
          IF(D50=1,0.8,1-0.8),
          IF(E50=1,0.8,1-0.8),
          IF(F50=1,0.8,1-0.8),
          IF(G50=1,0.8,1-0.8)) * M50</f>
        <v>0</v>
      </c>
      <c r="L50" s="6" t="n">
        <f aca="false">PRODUCT(IF(B50=1,0.9,1-0.9), IF(A50=1,0.9,1-0.9),
          IF(C50=1,0.9,1-0.9),
          IF(D50=1,0.9,1-0.9),
          IF(E50=1,0.9,1-0.9),
          IF(F50=1,0.9,1-0.9),
          IF(G50=1,0.9,1-0.9)) * M50</f>
        <v>0</v>
      </c>
      <c r="M50" s="2" t="n">
        <f aca="false">IF(C50=1,1,IF(AND(B50=1,A50=1,G50=1,D50=1),1,IF(AND(B50=1,A50=1,F50=1,D50=1,E50=1)
,1,0)))</f>
        <v>0</v>
      </c>
    </row>
    <row r="51" customFormat="false" ht="13.8" hidden="false" customHeight="false" outlineLevel="0" collapsed="false">
      <c r="A51" s="2" t="n">
        <v>0</v>
      </c>
      <c r="B51" s="2" t="n">
        <v>1</v>
      </c>
      <c r="C51" s="2" t="n">
        <v>0</v>
      </c>
      <c r="D51" s="2" t="n">
        <v>1</v>
      </c>
      <c r="E51" s="2" t="n">
        <v>1</v>
      </c>
      <c r="F51" s="2" t="n">
        <v>1</v>
      </c>
      <c r="G51" s="2" t="n">
        <v>1</v>
      </c>
      <c r="H51" s="1" t="n">
        <f aca="false"> ((($A51*$A$2)+(1-$A$2)*(1-$A51))* (($B51*$B$2)+(1-$B$2)*(1-$B51)) *(($C51*$C$2)+(1-
$C$2)*(1-$C51))* (($D51*$D$2)+(1-$D$2)*(1-$D51))* (($E51*$E$2)+(1-$E$2)*(1-$E51))*
(($F51*$F$2)+(1-$F$2)*(1-$F51))* (($G51*$G$2)+(1-$G$2)*(1-$G51)))*$M51</f>
        <v>0</v>
      </c>
      <c r="I51" s="6" t="n">
        <f aca="false">PRODUCT(IF(B51=1,0.6,1-0.6), IF(A51=1,0.6,1-0.6),
        IF(C51=1,0.6,1-0.6),
        IF(D51=1,0.6,1-0.6),
        IF(E51=1,0.6,1-0.6),
        IF(F51=1,0.6,1-0.6),
        IF(G51=1,0.6,1-0.6)) * M51</f>
        <v>0</v>
      </c>
      <c r="J51" s="6" t="n">
        <f aca="false">PRODUCT(IF(B51=1,0.7,1-0.7), IF(A51=1,0.7,1-0.7),
          IF(C51=1,0.7,1-0.7),
          IF(D51=1,0.7,1-0.7),
          IF(E51=1,0.7,1-0.7),
          IF(F51=1,0.7,1-0.7),
          IF(G51=1,0.7,1-0.7)) * M51</f>
        <v>0</v>
      </c>
      <c r="K51" s="6" t="n">
        <f aca="false">PRODUCT(IF(B51=1,0.8,1-0.8),IF(A51=1,0.8,1-0.8),
          IF(C51=1,0.8,1-0.8),
          IF(D51=1,0.8,1-0.8),
          IF(E51=1,0.8,1-0.8),
          IF(F51=1,0.8,1-0.8),
          IF(G51=1,0.8,1-0.8)) * M51</f>
        <v>0</v>
      </c>
      <c r="L51" s="6" t="n">
        <f aca="false">PRODUCT(IF(B51=1,0.9,1-0.9), IF(A51=1,0.9,1-0.9),
          IF(C51=1,0.9,1-0.9),
          IF(D51=1,0.9,1-0.9),
          IF(E51=1,0.9,1-0.9),
          IF(F51=1,0.9,1-0.9),
          IF(G51=1,0.9,1-0.9)) * M51</f>
        <v>0</v>
      </c>
      <c r="M51" s="2" t="n">
        <f aca="false">IF(C51=1,1,IF(AND(B51=1,A51=1,G51=1,D51=1),1,IF(AND(B51=1,A51=1,F51=1,D51=1,E51=1)
,1,0)))</f>
        <v>0</v>
      </c>
    </row>
    <row r="52" customFormat="false" ht="13.8" hidden="false" customHeight="false" outlineLevel="0" collapsed="false">
      <c r="A52" s="2" t="n">
        <v>0</v>
      </c>
      <c r="B52" s="2" t="n">
        <v>1</v>
      </c>
      <c r="C52" s="2" t="n">
        <v>1</v>
      </c>
      <c r="D52" s="2" t="n">
        <v>0</v>
      </c>
      <c r="E52" s="2" t="n">
        <v>0</v>
      </c>
      <c r="F52" s="2" t="n">
        <v>0</v>
      </c>
      <c r="G52" s="2" t="n">
        <v>0</v>
      </c>
      <c r="H52" s="1" t="n">
        <f aca="false"> ((($A52*$A$2)+(1-$A$2)*(1-$A52))* (($B52*$B$2)+(1-$B$2)*(1-$B52)) *(($C52*$C$2)+(1-
$C$2)*(1-$C52))* (($D52*$D$2)+(1-$D$2)*(1-$D52))* (($E52*$E$2)+(1-$E$2)*(1-$E52))*
(($F52*$F$2)+(1-$F$2)*(1-$F52))* (($G52*$G$2)+(1-$G$2)*(1-$G52)))*$M52</f>
        <v>0</v>
      </c>
      <c r="I52" s="6" t="n">
        <f aca="false">PRODUCT(IF(B52=1,0.6,1-0.6), IF(A52=1,0.6,1-0.6),
        IF(C52=1,0.6,1-0.6),
        IF(D52=1,0.6,1-0.6),
        IF(E52=1,0.6,1-0.6),
        IF(F52=1,0.6,1-0.6),
        IF(G52=1,0.6,1-0.6)) * M52</f>
        <v>0.0036864</v>
      </c>
      <c r="J52" s="6" t="n">
        <f aca="false">PRODUCT(IF(B52=1,0.7,1-0.7), IF(A52=1,0.7,1-0.7),
          IF(C52=1,0.7,1-0.7),
          IF(D52=1,0.7,1-0.7),
          IF(E52=1,0.7,1-0.7),
          IF(F52=1,0.7,1-0.7),
          IF(G52=1,0.7,1-0.7)) * M52</f>
        <v>0.0011907</v>
      </c>
      <c r="K52" s="6" t="n">
        <f aca="false">PRODUCT(IF(B52=1,0.8,1-0.8),IF(A52=1,0.8,1-0.8),
          IF(C52=1,0.8,1-0.8),
          IF(D52=1,0.8,1-0.8),
          IF(E52=1,0.8,1-0.8),
          IF(F52=1,0.8,1-0.8),
          IF(G52=1,0.8,1-0.8)) * M52</f>
        <v>0.0002048</v>
      </c>
      <c r="L52" s="6" t="n">
        <f aca="false">PRODUCT(IF(B52=1,0.9,1-0.9), IF(A52=1,0.9,1-0.9),
          IF(C52=1,0.9,1-0.9),
          IF(D52=1,0.9,1-0.9),
          IF(E52=1,0.9,1-0.9),
          IF(F52=1,0.9,1-0.9),
          IF(G52=1,0.9,1-0.9)) * M52</f>
        <v>8.09999999999999E-006</v>
      </c>
      <c r="M52" s="2" t="n">
        <f aca="false">IF(C52=1,1,IF(AND(B52=1,A52=1,G52=1,D52=1),1,IF(AND(B52=1,A52=1,F52=1,D52=1,E52=1)
,1,0)))</f>
        <v>1</v>
      </c>
    </row>
    <row r="53" customFormat="false" ht="13.8" hidden="false" customHeight="false" outlineLevel="0" collapsed="false">
      <c r="A53" s="2" t="n">
        <v>0</v>
      </c>
      <c r="B53" s="2" t="n">
        <v>1</v>
      </c>
      <c r="C53" s="2" t="n">
        <v>1</v>
      </c>
      <c r="D53" s="2" t="n">
        <v>0</v>
      </c>
      <c r="E53" s="2" t="n">
        <v>0</v>
      </c>
      <c r="F53" s="2" t="n">
        <v>0</v>
      </c>
      <c r="G53" s="2" t="n">
        <v>1</v>
      </c>
      <c r="H53" s="1" t="n">
        <f aca="false"> ((($A53*$A$2)+(1-$A$2)*(1-$A53))* (($B53*$B$2)+(1-$B$2)*(1-$B53)) *(($C53*$C$2)+(1-
$C$2)*(1-$C53))* (($D53*$D$2)+(1-$D$2)*(1-$D53))* (($E53*$E$2)+(1-$E$2)*(1-$E53))*
(($F53*$F$2)+(1-$F$2)*(1-$F53))* (($G53*$G$2)+(1-$G$2)*(1-$G53)))*$M53</f>
        <v>0.003969</v>
      </c>
      <c r="I53" s="6" t="n">
        <f aca="false">PRODUCT(IF(B53=1,0.6,1-0.6), IF(A53=1,0.6,1-0.6),
        IF(C53=1,0.6,1-0.6),
        IF(D53=1,0.6,1-0.6),
        IF(E53=1,0.6,1-0.6),
        IF(F53=1,0.6,1-0.6),
        IF(G53=1,0.6,1-0.6)) * M53</f>
        <v>0.0055296</v>
      </c>
      <c r="J53" s="6" t="n">
        <f aca="false">PRODUCT(IF(B53=1,0.7,1-0.7), IF(A53=1,0.7,1-0.7),
          IF(C53=1,0.7,1-0.7),
          IF(D53=1,0.7,1-0.7),
          IF(E53=1,0.7,1-0.7),
          IF(F53=1,0.7,1-0.7),
          IF(G53=1,0.7,1-0.7)) * M53</f>
        <v>0.0027783</v>
      </c>
      <c r="K53" s="6" t="n">
        <f aca="false">PRODUCT(IF(B53=1,0.8,1-0.8),IF(A53=1,0.8,1-0.8),
          IF(C53=1,0.8,1-0.8),
          IF(D53=1,0.8,1-0.8),
          IF(E53=1,0.8,1-0.8),
          IF(F53=1,0.8,1-0.8),
          IF(G53=1,0.8,1-0.8)) * M53</f>
        <v>0.000819199999999999</v>
      </c>
      <c r="L53" s="6" t="n">
        <f aca="false">PRODUCT(IF(B53=1,0.9,1-0.9), IF(A53=1,0.9,1-0.9),
          IF(C53=1,0.9,1-0.9),
          IF(D53=1,0.9,1-0.9),
          IF(E53=1,0.9,1-0.9),
          IF(F53=1,0.9,1-0.9),
          IF(G53=1,0.9,1-0.9)) * M53</f>
        <v>7.28999999999999E-005</v>
      </c>
      <c r="M53" s="2" t="n">
        <f aca="false">IF(C53=1,1,IF(AND(B53=1,A53=1,G53=1,D53=1),1,IF(AND(B53=1,A53=1,F53=1,D53=1,E53=1)
,1,0)))</f>
        <v>1</v>
      </c>
    </row>
    <row r="54" customFormat="false" ht="13.8" hidden="false" customHeight="false" outlineLevel="0" collapsed="false">
      <c r="A54" s="2" t="n">
        <v>0</v>
      </c>
      <c r="B54" s="2" t="n">
        <v>1</v>
      </c>
      <c r="C54" s="2" t="n">
        <v>1</v>
      </c>
      <c r="D54" s="2" t="n">
        <v>0</v>
      </c>
      <c r="E54" s="2" t="n">
        <v>0</v>
      </c>
      <c r="F54" s="2" t="n">
        <v>1</v>
      </c>
      <c r="G54" s="2" t="n">
        <v>0</v>
      </c>
      <c r="H54" s="1" t="n">
        <f aca="false"> ((($A54*$A$2)+(1-$A$2)*(1-$A54))* (($B54*$B$2)+(1-$B$2)*(1-$B54)) *(($C54*$C$2)+(1-
$C$2)*(1-$C54))* (($D54*$D$2)+(1-$D$2)*(1-$D54))* (($E54*$E$2)+(1-$E$2)*(1-$E54))*
(($F54*$F$2)+(1-$F$2)*(1-$F54))* (($G54*$G$2)+(1-$G$2)*(1-$G54)))*$M54</f>
        <v>0</v>
      </c>
      <c r="I54" s="6" t="n">
        <f aca="false">PRODUCT(IF(B54=1,0.6,1-0.6), IF(A54=1,0.6,1-0.6),
        IF(C54=1,0.6,1-0.6),
        IF(D54=1,0.6,1-0.6),
        IF(E54=1,0.6,1-0.6),
        IF(F54=1,0.6,1-0.6),
        IF(G54=1,0.6,1-0.6)) * M54</f>
        <v>0.0055296</v>
      </c>
      <c r="J54" s="6" t="n">
        <f aca="false">PRODUCT(IF(B54=1,0.7,1-0.7), IF(A54=1,0.7,1-0.7),
          IF(C54=1,0.7,1-0.7),
          IF(D54=1,0.7,1-0.7),
          IF(E54=1,0.7,1-0.7),
          IF(F54=1,0.7,1-0.7),
          IF(G54=1,0.7,1-0.7)) * M54</f>
        <v>0.0027783</v>
      </c>
      <c r="K54" s="6" t="n">
        <f aca="false">PRODUCT(IF(B54=1,0.8,1-0.8),IF(A54=1,0.8,1-0.8),
          IF(C54=1,0.8,1-0.8),
          IF(D54=1,0.8,1-0.8),
          IF(E54=1,0.8,1-0.8),
          IF(F54=1,0.8,1-0.8),
          IF(G54=1,0.8,1-0.8)) * M54</f>
        <v>0.000819199999999999</v>
      </c>
      <c r="L54" s="6" t="n">
        <f aca="false">PRODUCT(IF(B54=1,0.9,1-0.9), IF(A54=1,0.9,1-0.9),
          IF(C54=1,0.9,1-0.9),
          IF(D54=1,0.9,1-0.9),
          IF(E54=1,0.9,1-0.9),
          IF(F54=1,0.9,1-0.9),
          IF(G54=1,0.9,1-0.9)) * M54</f>
        <v>7.28999999999999E-005</v>
      </c>
      <c r="M54" s="2" t="n">
        <f aca="false">IF(C54=1,1,IF(AND(B54=1,A54=1,G54=1,D54=1),1,IF(AND(B54=1,A54=1,F54=1,D54=1,E54=1)
,1,0)))</f>
        <v>1</v>
      </c>
    </row>
    <row r="55" customFormat="false" ht="13.8" hidden="false" customHeight="false" outlineLevel="0" collapsed="false">
      <c r="A55" s="2" t="n">
        <v>0</v>
      </c>
      <c r="B55" s="2" t="n">
        <v>1</v>
      </c>
      <c r="C55" s="2" t="n">
        <v>1</v>
      </c>
      <c r="D55" s="2" t="n">
        <v>0</v>
      </c>
      <c r="E55" s="2" t="n">
        <v>0</v>
      </c>
      <c r="F55" s="2" t="n">
        <v>1</v>
      </c>
      <c r="G55" s="2" t="n">
        <v>1</v>
      </c>
      <c r="H55" s="1" t="n">
        <f aca="false"> ((($A55*$A$2)+(1-$A$2)*(1-$A55))* (($B55*$B$2)+(1-$B$2)*(1-$B55)) *(($C55*$C$2)+(1-
$C$2)*(1-$C55))* (($D55*$D$2)+(1-$D$2)*(1-$D55))* (($E55*$E$2)+(1-$E$2)*(1-$E55))*
(($F55*$F$2)+(1-$F$2)*(1-$F55))* (($G55*$G$2)+(1-$G$2)*(1-$G55)))*$M55</f>
        <v>0.009261</v>
      </c>
      <c r="I55" s="6" t="n">
        <f aca="false">PRODUCT(IF(B55=1,0.6,1-0.6), IF(A55=1,0.6,1-0.6),
        IF(C55=1,0.6,1-0.6),
        IF(D55=1,0.6,1-0.6),
        IF(E55=1,0.6,1-0.6),
        IF(F55=1,0.6,1-0.6),
        IF(G55=1,0.6,1-0.6)) * M55</f>
        <v>0.0082944</v>
      </c>
      <c r="J55" s="6" t="n">
        <f aca="false">PRODUCT(IF(B55=1,0.7,1-0.7), IF(A55=1,0.7,1-0.7),
          IF(C55=1,0.7,1-0.7),
          IF(D55=1,0.7,1-0.7),
          IF(E55=1,0.7,1-0.7),
          IF(F55=1,0.7,1-0.7),
          IF(G55=1,0.7,1-0.7)) * M55</f>
        <v>0.0064827</v>
      </c>
      <c r="K55" s="6" t="n">
        <f aca="false">PRODUCT(IF(B55=1,0.8,1-0.8),IF(A55=1,0.8,1-0.8),
          IF(C55=1,0.8,1-0.8),
          IF(D55=1,0.8,1-0.8),
          IF(E55=1,0.8,1-0.8),
          IF(F55=1,0.8,1-0.8),
          IF(G55=1,0.8,1-0.8)) * M55</f>
        <v>0.0032768</v>
      </c>
      <c r="L55" s="6" t="n">
        <f aca="false">PRODUCT(IF(B55=1,0.9,1-0.9), IF(A55=1,0.9,1-0.9),
          IF(C55=1,0.9,1-0.9),
          IF(D55=1,0.9,1-0.9),
          IF(E55=1,0.9,1-0.9),
          IF(F55=1,0.9,1-0.9),
          IF(G55=1,0.9,1-0.9)) * M55</f>
        <v>0.0006561</v>
      </c>
      <c r="M55" s="2" t="n">
        <f aca="false">IF(C55=1,1,IF(AND(B55=1,A55=1,G55=1,D55=1),1,IF(AND(B55=1,A55=1,F55=1,D55=1,E55=1)
,1,0)))</f>
        <v>1</v>
      </c>
    </row>
    <row r="56" customFormat="false" ht="13.8" hidden="false" customHeight="false" outlineLevel="0" collapsed="false">
      <c r="A56" s="2" t="n">
        <v>0</v>
      </c>
      <c r="B56" s="2" t="n">
        <v>1</v>
      </c>
      <c r="C56" s="2" t="n">
        <v>1</v>
      </c>
      <c r="D56" s="2" t="n">
        <v>0</v>
      </c>
      <c r="E56" s="2" t="n">
        <v>1</v>
      </c>
      <c r="F56" s="2" t="n">
        <v>0</v>
      </c>
      <c r="G56" s="2" t="n">
        <v>0</v>
      </c>
      <c r="H56" s="1" t="n">
        <f aca="false"> ((($A56*$A$2)+(1-$A$2)*(1-$A56))* (($B56*$B$2)+(1-$B$2)*(1-$B56)) *(($C56*$C$2)+(1-
$C$2)*(1-$C56))* (($D56*$D$2)+(1-$D$2)*(1-$D56))* (($E56*$E$2)+(1-$E$2)*(1-$E56))*
(($F56*$F$2)+(1-$F$2)*(1-$F56))* (($G56*$G$2)+(1-$G$2)*(1-$G56)))*$M56</f>
        <v>0</v>
      </c>
      <c r="I56" s="6" t="n">
        <f aca="false">PRODUCT(IF(B56=1,0.6,1-0.6), IF(A56=1,0.6,1-0.6),
        IF(C56=1,0.6,1-0.6),
        IF(D56=1,0.6,1-0.6),
        IF(E56=1,0.6,1-0.6),
        IF(F56=1,0.6,1-0.6),
        IF(G56=1,0.6,1-0.6)) * M56</f>
        <v>0.0055296</v>
      </c>
      <c r="J56" s="6" t="n">
        <f aca="false">PRODUCT(IF(B56=1,0.7,1-0.7), IF(A56=1,0.7,1-0.7),
          IF(C56=1,0.7,1-0.7),
          IF(D56=1,0.7,1-0.7),
          IF(E56=1,0.7,1-0.7),
          IF(F56=1,0.7,1-0.7),
          IF(G56=1,0.7,1-0.7)) * M56</f>
        <v>0.0027783</v>
      </c>
      <c r="K56" s="6" t="n">
        <f aca="false">PRODUCT(IF(B56=1,0.8,1-0.8),IF(A56=1,0.8,1-0.8),
          IF(C56=1,0.8,1-0.8),
          IF(D56=1,0.8,1-0.8),
          IF(E56=1,0.8,1-0.8),
          IF(F56=1,0.8,1-0.8),
          IF(G56=1,0.8,1-0.8)) * M56</f>
        <v>0.000819199999999999</v>
      </c>
      <c r="L56" s="6" t="n">
        <f aca="false">PRODUCT(IF(B56=1,0.9,1-0.9), IF(A56=1,0.9,1-0.9),
          IF(C56=1,0.9,1-0.9),
          IF(D56=1,0.9,1-0.9),
          IF(E56=1,0.9,1-0.9),
          IF(F56=1,0.9,1-0.9),
          IF(G56=1,0.9,1-0.9)) * M56</f>
        <v>7.28999999999999E-005</v>
      </c>
      <c r="M56" s="2" t="n">
        <f aca="false">IF(C56=1,1,IF(AND(B56=1,A56=1,G56=1,D56=1),1,IF(AND(B56=1,A56=1,F56=1,D56=1,E56=1)
,1,0)))</f>
        <v>1</v>
      </c>
    </row>
    <row r="57" customFormat="false" ht="13.8" hidden="false" customHeight="false" outlineLevel="0" collapsed="false">
      <c r="A57" s="2" t="n">
        <v>0</v>
      </c>
      <c r="B57" s="2" t="n">
        <v>1</v>
      </c>
      <c r="C57" s="2" t="n">
        <v>1</v>
      </c>
      <c r="D57" s="2" t="n">
        <v>0</v>
      </c>
      <c r="E57" s="2" t="n">
        <v>1</v>
      </c>
      <c r="F57" s="2" t="n">
        <v>0</v>
      </c>
      <c r="G57" s="2" t="n">
        <v>1</v>
      </c>
      <c r="H57" s="1" t="n">
        <f aca="false"> ((($A57*$A$2)+(1-$A$2)*(1-$A57))* (($B57*$B$2)+(1-$B$2)*(1-$B57)) *(($C57*$C$2)+(1-
$C$2)*(1-$C57))* (($D57*$D$2)+(1-$D$2)*(1-$D57))* (($E57*$E$2)+(1-$E$2)*(1-$E57))*
(($F57*$F$2)+(1-$F$2)*(1-$F57))* (($G57*$G$2)+(1-$G$2)*(1-$G57)))*$M57</f>
        <v>0.009261</v>
      </c>
      <c r="I57" s="6" t="n">
        <f aca="false">PRODUCT(IF(B57=1,0.6,1-0.6), IF(A57=1,0.6,1-0.6),
        IF(C57=1,0.6,1-0.6),
        IF(D57=1,0.6,1-0.6),
        IF(E57=1,0.6,1-0.6),
        IF(F57=1,0.6,1-0.6),
        IF(G57=1,0.6,1-0.6)) * M57</f>
        <v>0.0082944</v>
      </c>
      <c r="J57" s="6" t="n">
        <f aca="false">PRODUCT(IF(B57=1,0.7,1-0.7), IF(A57=1,0.7,1-0.7),
          IF(C57=1,0.7,1-0.7),
          IF(D57=1,0.7,1-0.7),
          IF(E57=1,0.7,1-0.7),
          IF(F57=1,0.7,1-0.7),
          IF(G57=1,0.7,1-0.7)) * M57</f>
        <v>0.0064827</v>
      </c>
      <c r="K57" s="6" t="n">
        <f aca="false">PRODUCT(IF(B57=1,0.8,1-0.8),IF(A57=1,0.8,1-0.8),
          IF(C57=1,0.8,1-0.8),
          IF(D57=1,0.8,1-0.8),
          IF(E57=1,0.8,1-0.8),
          IF(F57=1,0.8,1-0.8),
          IF(G57=1,0.8,1-0.8)) * M57</f>
        <v>0.0032768</v>
      </c>
      <c r="L57" s="6" t="n">
        <f aca="false">PRODUCT(IF(B57=1,0.9,1-0.9), IF(A57=1,0.9,1-0.9),
          IF(C57=1,0.9,1-0.9),
          IF(D57=1,0.9,1-0.9),
          IF(E57=1,0.9,1-0.9),
          IF(F57=1,0.9,1-0.9),
          IF(G57=1,0.9,1-0.9)) * M57</f>
        <v>0.0006561</v>
      </c>
      <c r="M57" s="2" t="n">
        <f aca="false">IF(C57=1,1,IF(AND(B57=1,A57=1,G57=1,D57=1),1,IF(AND(B57=1,A57=1,F57=1,D57=1,E57=1)
,1,0)))</f>
        <v>1</v>
      </c>
    </row>
    <row r="58" customFormat="false" ht="13.8" hidden="false" customHeight="false" outlineLevel="0" collapsed="false">
      <c r="A58" s="2" t="n">
        <v>0</v>
      </c>
      <c r="B58" s="2" t="n">
        <v>1</v>
      </c>
      <c r="C58" s="2" t="n">
        <v>1</v>
      </c>
      <c r="D58" s="2" t="n">
        <v>0</v>
      </c>
      <c r="E58" s="2" t="n">
        <v>1</v>
      </c>
      <c r="F58" s="2" t="n">
        <v>1</v>
      </c>
      <c r="G58" s="2" t="n">
        <v>0</v>
      </c>
      <c r="H58" s="1" t="n">
        <f aca="false"> ((($A58*$A$2)+(1-$A$2)*(1-$A58))* (($B58*$B$2)+(1-$B$2)*(1-$B58)) *(($C58*$C$2)+(1-
$C$2)*(1-$C58))* (($D58*$D$2)+(1-$D$2)*(1-$D58))* (($E58*$E$2)+(1-$E$2)*(1-$E58))*
(($F58*$F$2)+(1-$F$2)*(1-$F58))* (($G58*$G$2)+(1-$G$2)*(1-$G58)))*$M58</f>
        <v>0</v>
      </c>
      <c r="I58" s="6" t="n">
        <f aca="false">PRODUCT(IF(B58=1,0.6,1-0.6), IF(A58=1,0.6,1-0.6),
        IF(C58=1,0.6,1-0.6),
        IF(D58=1,0.6,1-0.6),
        IF(E58=1,0.6,1-0.6),
        IF(F58=1,0.6,1-0.6),
        IF(G58=1,0.6,1-0.6)) * M58</f>
        <v>0.0082944</v>
      </c>
      <c r="J58" s="6" t="n">
        <f aca="false">PRODUCT(IF(B58=1,0.7,1-0.7), IF(A58=1,0.7,1-0.7),
          IF(C58=1,0.7,1-0.7),
          IF(D58=1,0.7,1-0.7),
          IF(E58=1,0.7,1-0.7),
          IF(F58=1,0.7,1-0.7),
          IF(G58=1,0.7,1-0.7)) * M58</f>
        <v>0.0064827</v>
      </c>
      <c r="K58" s="6" t="n">
        <f aca="false">PRODUCT(IF(B58=1,0.8,1-0.8),IF(A58=1,0.8,1-0.8),
          IF(C58=1,0.8,1-0.8),
          IF(D58=1,0.8,1-0.8),
          IF(E58=1,0.8,1-0.8),
          IF(F58=1,0.8,1-0.8),
          IF(G58=1,0.8,1-0.8)) * M58</f>
        <v>0.0032768</v>
      </c>
      <c r="L58" s="6" t="n">
        <f aca="false">PRODUCT(IF(B58=1,0.9,1-0.9), IF(A58=1,0.9,1-0.9),
          IF(C58=1,0.9,1-0.9),
          IF(D58=1,0.9,1-0.9),
          IF(E58=1,0.9,1-0.9),
          IF(F58=1,0.9,1-0.9),
          IF(G58=1,0.9,1-0.9)) * M58</f>
        <v>0.0006561</v>
      </c>
      <c r="M58" s="2" t="n">
        <f aca="false">IF(C58=1,1,IF(AND(B58=1,A58=1,G58=1,D58=1),1,IF(AND(B58=1,A58=1,F58=1,D58=1,E58=1)
,1,0)))</f>
        <v>1</v>
      </c>
    </row>
    <row r="59" customFormat="false" ht="13.8" hidden="false" customHeight="false" outlineLevel="0" collapsed="false">
      <c r="A59" s="2" t="n">
        <v>0</v>
      </c>
      <c r="B59" s="2" t="n">
        <v>1</v>
      </c>
      <c r="C59" s="2" t="n">
        <v>1</v>
      </c>
      <c r="D59" s="2" t="n">
        <v>0</v>
      </c>
      <c r="E59" s="2" t="n">
        <v>1</v>
      </c>
      <c r="F59" s="2" t="n">
        <v>1</v>
      </c>
      <c r="G59" s="2" t="n">
        <v>1</v>
      </c>
      <c r="H59" s="1" t="n">
        <f aca="false"> ((($A59*$A$2)+(1-$A$2)*(1-$A59))* (($B59*$B$2)+(1-$B$2)*(1-$B59)) *(($C59*$C$2)+(1-
$C$2)*(1-$C59))* (($D59*$D$2)+(1-$D$2)*(1-$D59))* (($E59*$E$2)+(1-$E$2)*(1-$E59))*
(($F59*$F$2)+(1-$F$2)*(1-$F59))* (($G59*$G$2)+(1-$G$2)*(1-$G59)))*$M59</f>
        <v>0.021609</v>
      </c>
      <c r="I59" s="6" t="n">
        <f aca="false">PRODUCT(IF(B59=1,0.6,1-0.6), IF(A59=1,0.6,1-0.6),
        IF(C59=1,0.6,1-0.6),
        IF(D59=1,0.6,1-0.6),
        IF(E59=1,0.6,1-0.6),
        IF(F59=1,0.6,1-0.6),
        IF(G59=1,0.6,1-0.6)) * M59</f>
        <v>0.0124416</v>
      </c>
      <c r="J59" s="6" t="n">
        <f aca="false">PRODUCT(IF(B59=1,0.7,1-0.7), IF(A59=1,0.7,1-0.7),
          IF(C59=1,0.7,1-0.7),
          IF(D59=1,0.7,1-0.7),
          IF(E59=1,0.7,1-0.7),
          IF(F59=1,0.7,1-0.7),
          IF(G59=1,0.7,1-0.7)) * M59</f>
        <v>0.0151263</v>
      </c>
      <c r="K59" s="6" t="n">
        <f aca="false">PRODUCT(IF(B59=1,0.8,1-0.8),IF(A59=1,0.8,1-0.8),
          IF(C59=1,0.8,1-0.8),
          IF(D59=1,0.8,1-0.8),
          IF(E59=1,0.8,1-0.8),
          IF(F59=1,0.8,1-0.8),
          IF(G59=1,0.8,1-0.8)) * M59</f>
        <v>0.0131072</v>
      </c>
      <c r="L59" s="6" t="n">
        <f aca="false">PRODUCT(IF(B59=1,0.9,1-0.9), IF(A59=1,0.9,1-0.9),
          IF(C59=1,0.9,1-0.9),
          IF(D59=1,0.9,1-0.9),
          IF(E59=1,0.9,1-0.9),
          IF(F59=1,0.9,1-0.9),
          IF(G59=1,0.9,1-0.9)) * M59</f>
        <v>0.0059049</v>
      </c>
      <c r="M59" s="2" t="n">
        <f aca="false">IF(C59=1,1,IF(AND(B59=1,A59=1,G59=1,D59=1),1,IF(AND(B59=1,A59=1,F59=1,D59=1,E59=1)
,1,0)))</f>
        <v>1</v>
      </c>
    </row>
    <row r="60" customFormat="false" ht="13.8" hidden="false" customHeight="false" outlineLevel="0" collapsed="false">
      <c r="A60" s="2" t="n">
        <v>0</v>
      </c>
      <c r="B60" s="2" t="n">
        <v>1</v>
      </c>
      <c r="C60" s="2" t="n">
        <v>1</v>
      </c>
      <c r="D60" s="2" t="n">
        <v>1</v>
      </c>
      <c r="E60" s="2" t="n">
        <v>0</v>
      </c>
      <c r="F60" s="2" t="n">
        <v>0</v>
      </c>
      <c r="G60" s="2" t="n">
        <v>0</v>
      </c>
      <c r="H60" s="1" t="n">
        <f aca="false"> ((($A60*$A$2)+(1-$A$2)*(1-$A60))* (($B60*$B$2)+(1-$B$2)*(1-$B60)) *(($C60*$C$2)+(1-
$C$2)*(1-$C60))* (($D60*$D$2)+(1-$D$2)*(1-$D60))* (($E60*$E$2)+(1-$E$2)*(1-$E60))*
(($F60*$F$2)+(1-$F$2)*(1-$F60))* (($G60*$G$2)+(1-$G$2)*(1-$G60)))*$M60</f>
        <v>0</v>
      </c>
      <c r="I60" s="6" t="n">
        <f aca="false">PRODUCT(IF(B60=1,0.6,1-0.6), IF(A60=1,0.6,1-0.6),
        IF(C60=1,0.6,1-0.6),
        IF(D60=1,0.6,1-0.6),
        IF(E60=1,0.6,1-0.6),
        IF(F60=1,0.6,1-0.6),
        IF(G60=1,0.6,1-0.6)) * M60</f>
        <v>0.0055296</v>
      </c>
      <c r="J60" s="6" t="n">
        <f aca="false">PRODUCT(IF(B60=1,0.7,1-0.7), IF(A60=1,0.7,1-0.7),
          IF(C60=1,0.7,1-0.7),
          IF(D60=1,0.7,1-0.7),
          IF(E60=1,0.7,1-0.7),
          IF(F60=1,0.7,1-0.7),
          IF(G60=1,0.7,1-0.7)) * M60</f>
        <v>0.0027783</v>
      </c>
      <c r="K60" s="6" t="n">
        <f aca="false">PRODUCT(IF(B60=1,0.8,1-0.8),IF(A60=1,0.8,1-0.8),
          IF(C60=1,0.8,1-0.8),
          IF(D60=1,0.8,1-0.8),
          IF(E60=1,0.8,1-0.8),
          IF(F60=1,0.8,1-0.8),
          IF(G60=1,0.8,1-0.8)) * M60</f>
        <v>0.000819199999999999</v>
      </c>
      <c r="L60" s="6" t="n">
        <f aca="false">PRODUCT(IF(B60=1,0.9,1-0.9), IF(A60=1,0.9,1-0.9),
          IF(C60=1,0.9,1-0.9),
          IF(D60=1,0.9,1-0.9),
          IF(E60=1,0.9,1-0.9),
          IF(F60=1,0.9,1-0.9),
          IF(G60=1,0.9,1-0.9)) * M60</f>
        <v>7.28999999999999E-005</v>
      </c>
      <c r="M60" s="2" t="n">
        <f aca="false">IF(C60=1,1,IF(AND(B60=1,A60=1,G60=1,D60=1),1,IF(AND(B60=1,A60=1,F60=1,D60=1,E60=1)
,1,0)))</f>
        <v>1</v>
      </c>
    </row>
    <row r="61" customFormat="false" ht="13.8" hidden="false" customHeight="false" outlineLevel="0" collapsed="false">
      <c r="A61" s="2" t="n">
        <v>0</v>
      </c>
      <c r="B61" s="2" t="n">
        <v>1</v>
      </c>
      <c r="C61" s="2" t="n">
        <v>1</v>
      </c>
      <c r="D61" s="2" t="n">
        <v>1</v>
      </c>
      <c r="E61" s="2" t="n">
        <v>0</v>
      </c>
      <c r="F61" s="2" t="n">
        <v>0</v>
      </c>
      <c r="G61" s="2" t="n">
        <v>1</v>
      </c>
      <c r="H61" s="1" t="n">
        <f aca="false"> ((($A61*$A$2)+(1-$A$2)*(1-$A61))* (($B61*$B$2)+(1-$B$2)*(1-$B61)) *(($C61*$C$2)+(1-
$C$2)*(1-$C61))* (($D61*$D$2)+(1-$D$2)*(1-$D61))* (($E61*$E$2)+(1-$E$2)*(1-$E61))*
(($F61*$F$2)+(1-$F$2)*(1-$F61))* (($G61*$G$2)+(1-$G$2)*(1-$G61)))*$M61</f>
        <v>0.009261</v>
      </c>
      <c r="I61" s="6" t="n">
        <f aca="false">PRODUCT(IF(B61=1,0.6,1-0.6), IF(A61=1,0.6,1-0.6),
        IF(C61=1,0.6,1-0.6),
        IF(D61=1,0.6,1-0.6),
        IF(E61=1,0.6,1-0.6),
        IF(F61=1,0.6,1-0.6),
        IF(G61=1,0.6,1-0.6)) * M61</f>
        <v>0.0082944</v>
      </c>
      <c r="J61" s="6" t="n">
        <f aca="false">PRODUCT(IF(B61=1,0.7,1-0.7), IF(A61=1,0.7,1-0.7),
          IF(C61=1,0.7,1-0.7),
          IF(D61=1,0.7,1-0.7),
          IF(E61=1,0.7,1-0.7),
          IF(F61=1,0.7,1-0.7),
          IF(G61=1,0.7,1-0.7)) * M61</f>
        <v>0.0064827</v>
      </c>
      <c r="K61" s="6" t="n">
        <f aca="false">PRODUCT(IF(B61=1,0.8,1-0.8),IF(A61=1,0.8,1-0.8),
          IF(C61=1,0.8,1-0.8),
          IF(D61=1,0.8,1-0.8),
          IF(E61=1,0.8,1-0.8),
          IF(F61=1,0.8,1-0.8),
          IF(G61=1,0.8,1-0.8)) * M61</f>
        <v>0.0032768</v>
      </c>
      <c r="L61" s="6" t="n">
        <f aca="false">PRODUCT(IF(B61=1,0.9,1-0.9), IF(A61=1,0.9,1-0.9),
          IF(C61=1,0.9,1-0.9),
          IF(D61=1,0.9,1-0.9),
          IF(E61=1,0.9,1-0.9),
          IF(F61=1,0.9,1-0.9),
          IF(G61=1,0.9,1-0.9)) * M61</f>
        <v>0.0006561</v>
      </c>
      <c r="M61" s="2" t="n">
        <f aca="false">IF(C61=1,1,IF(AND(B61=1,A61=1,G61=1,D61=1),1,IF(AND(B61=1,A61=1,F61=1,D61=1,E61=1)
,1,0)))</f>
        <v>1</v>
      </c>
    </row>
    <row r="62" customFormat="false" ht="13.8" hidden="false" customHeight="false" outlineLevel="0" collapsed="false">
      <c r="A62" s="2" t="n">
        <v>0</v>
      </c>
      <c r="B62" s="2" t="n">
        <v>1</v>
      </c>
      <c r="C62" s="2" t="n">
        <v>1</v>
      </c>
      <c r="D62" s="2" t="n">
        <v>1</v>
      </c>
      <c r="E62" s="2" t="n">
        <v>0</v>
      </c>
      <c r="F62" s="2" t="n">
        <v>1</v>
      </c>
      <c r="G62" s="2" t="n">
        <v>0</v>
      </c>
      <c r="H62" s="1" t="n">
        <f aca="false"> ((($A62*$A$2)+(1-$A$2)*(1-$A62))* (($B62*$B$2)+(1-$B$2)*(1-$B62)) *(($C62*$C$2)+(1-
$C$2)*(1-$C62))* (($D62*$D$2)+(1-$D$2)*(1-$D62))* (($E62*$E$2)+(1-$E$2)*(1-$E62))*
(($F62*$F$2)+(1-$F$2)*(1-$F62))* (($G62*$G$2)+(1-$G$2)*(1-$G62)))*$M62</f>
        <v>0</v>
      </c>
      <c r="I62" s="6" t="n">
        <f aca="false">PRODUCT(IF(B62=1,0.6,1-0.6), IF(A62=1,0.6,1-0.6),
        IF(C62=1,0.6,1-0.6),
        IF(D62=1,0.6,1-0.6),
        IF(E62=1,0.6,1-0.6),
        IF(F62=1,0.6,1-0.6),
        IF(G62=1,0.6,1-0.6)) * M62</f>
        <v>0.0082944</v>
      </c>
      <c r="J62" s="6" t="n">
        <f aca="false">PRODUCT(IF(B62=1,0.7,1-0.7), IF(A62=1,0.7,1-0.7),
          IF(C62=1,0.7,1-0.7),
          IF(D62=1,0.7,1-0.7),
          IF(E62=1,0.7,1-0.7),
          IF(F62=1,0.7,1-0.7),
          IF(G62=1,0.7,1-0.7)) * M62</f>
        <v>0.0064827</v>
      </c>
      <c r="K62" s="6" t="n">
        <f aca="false">PRODUCT(IF(B62=1,0.8,1-0.8),IF(A62=1,0.8,1-0.8),
          IF(C62=1,0.8,1-0.8),
          IF(D62=1,0.8,1-0.8),
          IF(E62=1,0.8,1-0.8),
          IF(F62=1,0.8,1-0.8),
          IF(G62=1,0.8,1-0.8)) * M62</f>
        <v>0.0032768</v>
      </c>
      <c r="L62" s="6" t="n">
        <f aca="false">PRODUCT(IF(B62=1,0.9,1-0.9), IF(A62=1,0.9,1-0.9),
          IF(C62=1,0.9,1-0.9),
          IF(D62=1,0.9,1-0.9),
          IF(E62=1,0.9,1-0.9),
          IF(F62=1,0.9,1-0.9),
          IF(G62=1,0.9,1-0.9)) * M62</f>
        <v>0.0006561</v>
      </c>
      <c r="M62" s="2" t="n">
        <f aca="false">IF(C62=1,1,IF(AND(B62=1,A62=1,G62=1,D62=1),1,IF(AND(B62=1,A62=1,F62=1,D62=1,E62=1)
,1,0)))</f>
        <v>1</v>
      </c>
    </row>
    <row r="63" customFormat="false" ht="13.8" hidden="false" customHeight="false" outlineLevel="0" collapsed="false">
      <c r="A63" s="2" t="n">
        <v>0</v>
      </c>
      <c r="B63" s="2" t="n">
        <v>1</v>
      </c>
      <c r="C63" s="2" t="n">
        <v>1</v>
      </c>
      <c r="D63" s="2" t="n">
        <v>1</v>
      </c>
      <c r="E63" s="2" t="n">
        <v>0</v>
      </c>
      <c r="F63" s="2" t="n">
        <v>1</v>
      </c>
      <c r="G63" s="2" t="n">
        <v>1</v>
      </c>
      <c r="H63" s="1" t="n">
        <f aca="false"> ((($A63*$A$2)+(1-$A$2)*(1-$A63))* (($B63*$B$2)+(1-$B$2)*(1-$B63)) *(($C63*$C$2)+(1-
$C$2)*(1-$C63))* (($D63*$D$2)+(1-$D$2)*(1-$D63))* (($E63*$E$2)+(1-$E$2)*(1-$E63))*
(($F63*$F$2)+(1-$F$2)*(1-$F63))* (($G63*$G$2)+(1-$G$2)*(1-$G63)))*$M63</f>
        <v>0.021609</v>
      </c>
      <c r="I63" s="6" t="n">
        <f aca="false">PRODUCT(IF(B63=1,0.6,1-0.6), IF(A63=1,0.6,1-0.6),
        IF(C63=1,0.6,1-0.6),
        IF(D63=1,0.6,1-0.6),
        IF(E63=1,0.6,1-0.6),
        IF(F63=1,0.6,1-0.6),
        IF(G63=1,0.6,1-0.6)) * M63</f>
        <v>0.0124416</v>
      </c>
      <c r="J63" s="6" t="n">
        <f aca="false">PRODUCT(IF(B63=1,0.7,1-0.7), IF(A63=1,0.7,1-0.7),
          IF(C63=1,0.7,1-0.7),
          IF(D63=1,0.7,1-0.7),
          IF(E63=1,0.7,1-0.7),
          IF(F63=1,0.7,1-0.7),
          IF(G63=1,0.7,1-0.7)) * M63</f>
        <v>0.0151263</v>
      </c>
      <c r="K63" s="6" t="n">
        <f aca="false">PRODUCT(IF(B63=1,0.8,1-0.8),IF(A63=1,0.8,1-0.8),
          IF(C63=1,0.8,1-0.8),
          IF(D63=1,0.8,1-0.8),
          IF(E63=1,0.8,1-0.8),
          IF(F63=1,0.8,1-0.8),
          IF(G63=1,0.8,1-0.8)) * M63</f>
        <v>0.0131072</v>
      </c>
      <c r="L63" s="6" t="n">
        <f aca="false">PRODUCT(IF(B63=1,0.9,1-0.9), IF(A63=1,0.9,1-0.9),
          IF(C63=1,0.9,1-0.9),
          IF(D63=1,0.9,1-0.9),
          IF(E63=1,0.9,1-0.9),
          IF(F63=1,0.9,1-0.9),
          IF(G63=1,0.9,1-0.9)) * M63</f>
        <v>0.0059049</v>
      </c>
      <c r="M63" s="2" t="n">
        <f aca="false">IF(C63=1,1,IF(AND(B63=1,A63=1,G63=1,D63=1),1,IF(AND(B63=1,A63=1,F63=1,D63=1,E63=1)
,1,0)))</f>
        <v>1</v>
      </c>
    </row>
    <row r="64" customFormat="false" ht="13.8" hidden="false" customHeight="false" outlineLevel="0" collapsed="false">
      <c r="A64" s="2" t="n">
        <v>0</v>
      </c>
      <c r="B64" s="2" t="n">
        <v>1</v>
      </c>
      <c r="C64" s="2" t="n">
        <v>1</v>
      </c>
      <c r="D64" s="2" t="n">
        <v>1</v>
      </c>
      <c r="E64" s="2" t="n">
        <v>1</v>
      </c>
      <c r="F64" s="2" t="n">
        <v>0</v>
      </c>
      <c r="G64" s="2" t="n">
        <v>0</v>
      </c>
      <c r="H64" s="1" t="n">
        <f aca="false"> ((($A64*$A$2)+(1-$A$2)*(1-$A64))* (($B64*$B$2)+(1-$B$2)*(1-$B64)) *(($C64*$C$2)+(1-
$C$2)*(1-$C64))* (($D64*$D$2)+(1-$D$2)*(1-$D64))* (($E64*$E$2)+(1-$E$2)*(1-$E64))*
(($F64*$F$2)+(1-$F$2)*(1-$F64))* (($G64*$G$2)+(1-$G$2)*(1-$G64)))*$M64</f>
        <v>0</v>
      </c>
      <c r="I64" s="6" t="n">
        <f aca="false">PRODUCT(IF(B64=1,0.6,1-0.6), IF(A64=1,0.6,1-0.6),
        IF(C64=1,0.6,1-0.6),
        IF(D64=1,0.6,1-0.6),
        IF(E64=1,0.6,1-0.6),
        IF(F64=1,0.6,1-0.6),
        IF(G64=1,0.6,1-0.6)) * M64</f>
        <v>0.0082944</v>
      </c>
      <c r="J64" s="6" t="n">
        <f aca="false">PRODUCT(IF(B64=1,0.7,1-0.7), IF(A64=1,0.7,1-0.7),
          IF(C64=1,0.7,1-0.7),
          IF(D64=1,0.7,1-0.7),
          IF(E64=1,0.7,1-0.7),
          IF(F64=1,0.7,1-0.7),
          IF(G64=1,0.7,1-0.7)) * M64</f>
        <v>0.0064827</v>
      </c>
      <c r="K64" s="6" t="n">
        <f aca="false">PRODUCT(IF(B64=1,0.8,1-0.8),IF(A64=1,0.8,1-0.8),
          IF(C64=1,0.8,1-0.8),
          IF(D64=1,0.8,1-0.8),
          IF(E64=1,0.8,1-0.8),
          IF(F64=1,0.8,1-0.8),
          IF(G64=1,0.8,1-0.8)) * M64</f>
        <v>0.0032768</v>
      </c>
      <c r="L64" s="6" t="n">
        <f aca="false">PRODUCT(IF(B64=1,0.9,1-0.9), IF(A64=1,0.9,1-0.9),
          IF(C64=1,0.9,1-0.9),
          IF(D64=1,0.9,1-0.9),
          IF(E64=1,0.9,1-0.9),
          IF(F64=1,0.9,1-0.9),
          IF(G64=1,0.9,1-0.9)) * M64</f>
        <v>0.0006561</v>
      </c>
      <c r="M64" s="2" t="n">
        <f aca="false">IF(C64=1,1,IF(AND(B64=1,A64=1,G64=1,D64=1),1,IF(AND(B64=1,A64=1,F64=1,D64=1,E64=1)
,1,0)))</f>
        <v>1</v>
      </c>
    </row>
    <row r="65" customFormat="false" ht="13.8" hidden="false" customHeight="false" outlineLevel="0" collapsed="false">
      <c r="A65" s="2" t="n">
        <v>0</v>
      </c>
      <c r="B65" s="2" t="n">
        <v>1</v>
      </c>
      <c r="C65" s="2" t="n">
        <v>1</v>
      </c>
      <c r="D65" s="2" t="n">
        <v>1</v>
      </c>
      <c r="E65" s="2" t="n">
        <v>1</v>
      </c>
      <c r="F65" s="2" t="n">
        <v>0</v>
      </c>
      <c r="G65" s="2" t="n">
        <v>1</v>
      </c>
      <c r="H65" s="1" t="n">
        <f aca="false"> ((($A65*$A$2)+(1-$A$2)*(1-$A65))* (($B65*$B$2)+(1-$B$2)*(1-$B65)) *(($C65*$C$2)+(1-
$C$2)*(1-$C65))* (($D65*$D$2)+(1-$D$2)*(1-$D65))* (($E65*$E$2)+(1-$E$2)*(1-$E65))*
(($F65*$F$2)+(1-$F$2)*(1-$F65))* (($G65*$G$2)+(1-$G$2)*(1-$G65)))*$M65</f>
        <v>0.021609</v>
      </c>
      <c r="I65" s="6" t="n">
        <f aca="false">PRODUCT(IF(B65=1,0.6,1-0.6), IF(A65=1,0.6,1-0.6),
        IF(C65=1,0.6,1-0.6),
        IF(D65=1,0.6,1-0.6),
        IF(E65=1,0.6,1-0.6),
        IF(F65=1,0.6,1-0.6),
        IF(G65=1,0.6,1-0.6)) * M65</f>
        <v>0.0124416</v>
      </c>
      <c r="J65" s="6" t="n">
        <f aca="false">PRODUCT(IF(B65=1,0.7,1-0.7), IF(A65=1,0.7,1-0.7),
          IF(C65=1,0.7,1-0.7),
          IF(D65=1,0.7,1-0.7),
          IF(E65=1,0.7,1-0.7),
          IF(F65=1,0.7,1-0.7),
          IF(G65=1,0.7,1-0.7)) * M65</f>
        <v>0.0151263</v>
      </c>
      <c r="K65" s="6" t="n">
        <f aca="false">PRODUCT(IF(B65=1,0.8,1-0.8),IF(A65=1,0.8,1-0.8),
          IF(C65=1,0.8,1-0.8),
          IF(D65=1,0.8,1-0.8),
          IF(E65=1,0.8,1-0.8),
          IF(F65=1,0.8,1-0.8),
          IF(G65=1,0.8,1-0.8)) * M65</f>
        <v>0.0131072</v>
      </c>
      <c r="L65" s="6" t="n">
        <f aca="false">PRODUCT(IF(B65=1,0.9,1-0.9), IF(A65=1,0.9,1-0.9),
          IF(C65=1,0.9,1-0.9),
          IF(D65=1,0.9,1-0.9),
          IF(E65=1,0.9,1-0.9),
          IF(F65=1,0.9,1-0.9),
          IF(G65=1,0.9,1-0.9)) * M65</f>
        <v>0.0059049</v>
      </c>
      <c r="M65" s="2" t="n">
        <f aca="false">IF(C65=1,1,IF(AND(B65=1,A65=1,G65=1,D65=1),1,IF(AND(B65=1,A65=1,F65=1,D65=1,E65=1)
,1,0)))</f>
        <v>1</v>
      </c>
    </row>
    <row r="66" customFormat="false" ht="13.8" hidden="false" customHeight="false" outlineLevel="0" collapsed="false">
      <c r="A66" s="2" t="n">
        <v>0</v>
      </c>
      <c r="B66" s="2" t="n">
        <v>1</v>
      </c>
      <c r="C66" s="2" t="n">
        <v>1</v>
      </c>
      <c r="D66" s="2" t="n">
        <v>1</v>
      </c>
      <c r="E66" s="2" t="n">
        <v>1</v>
      </c>
      <c r="F66" s="2" t="n">
        <v>1</v>
      </c>
      <c r="G66" s="2" t="n">
        <v>0</v>
      </c>
      <c r="H66" s="1" t="n">
        <f aca="false"> ((($A66*$A$2)+(1-$A$2)*(1-$A66))* (($B66*$B$2)+(1-$B$2)*(1-$B66)) *(($C66*$C$2)+(1-
$C$2)*(1-$C66))* (($D66*$D$2)+(1-$D$2)*(1-$D66))* (($E66*$E$2)+(1-$E$2)*(1-$E66))*
(($F66*$F$2)+(1-$F$2)*(1-$F66))* (($G66*$G$2)+(1-$G$2)*(1-$G66)))*$M66</f>
        <v>0</v>
      </c>
      <c r="I66" s="6" t="n">
        <f aca="false">PRODUCT(IF(B66=1,0.6,1-0.6), IF(A66=1,0.6,1-0.6),
        IF(C66=1,0.6,1-0.6),
        IF(D66=1,0.6,1-0.6),
        IF(E66=1,0.6,1-0.6),
        IF(F66=1,0.6,1-0.6),
        IF(G66=1,0.6,1-0.6)) * M66</f>
        <v>0.0124416</v>
      </c>
      <c r="J66" s="6" t="n">
        <f aca="false">PRODUCT(IF(B66=1,0.7,1-0.7), IF(A66=1,0.7,1-0.7),
          IF(C66=1,0.7,1-0.7),
          IF(D66=1,0.7,1-0.7),
          IF(E66=1,0.7,1-0.7),
          IF(F66=1,0.7,1-0.7),
          IF(G66=1,0.7,1-0.7)) * M66</f>
        <v>0.0151263</v>
      </c>
      <c r="K66" s="6" t="n">
        <f aca="false">PRODUCT(IF(B66=1,0.8,1-0.8),IF(A66=1,0.8,1-0.8),
          IF(C66=1,0.8,1-0.8),
          IF(D66=1,0.8,1-0.8),
          IF(E66=1,0.8,1-0.8),
          IF(F66=1,0.8,1-0.8),
          IF(G66=1,0.8,1-0.8)) * M66</f>
        <v>0.0131072</v>
      </c>
      <c r="L66" s="6" t="n">
        <f aca="false">PRODUCT(IF(B66=1,0.9,1-0.9), IF(A66=1,0.9,1-0.9),
          IF(C66=1,0.9,1-0.9),
          IF(D66=1,0.9,1-0.9),
          IF(E66=1,0.9,1-0.9),
          IF(F66=1,0.9,1-0.9),
          IF(G66=1,0.9,1-0.9)) * M66</f>
        <v>0.0059049</v>
      </c>
      <c r="M66" s="2" t="n">
        <f aca="false">IF(C66=1,1,IF(AND(B66=1,A66=1,G66=1,D66=1),1,IF(AND(B66=1,A66=1,F66=1,D66=1,E66=1)
,1,0)))</f>
        <v>1</v>
      </c>
    </row>
    <row r="67" customFormat="false" ht="13.8" hidden="false" customHeight="false" outlineLevel="0" collapsed="false">
      <c r="A67" s="2" t="n">
        <v>0</v>
      </c>
      <c r="B67" s="2" t="n">
        <v>1</v>
      </c>
      <c r="C67" s="2" t="n">
        <v>1</v>
      </c>
      <c r="D67" s="2" t="n">
        <v>1</v>
      </c>
      <c r="E67" s="2" t="n">
        <v>1</v>
      </c>
      <c r="F67" s="2" t="n">
        <v>1</v>
      </c>
      <c r="G67" s="2" t="n">
        <v>1</v>
      </c>
      <c r="H67" s="1" t="n">
        <f aca="false"> ((($A67*$A$2)+(1-$A$2)*(1-$A67))* (($B67*$B$2)+(1-$B$2)*(1-$B67)) *(($C67*$C$2)+(1-
$C$2)*(1-$C67))* (($D67*$D$2)+(1-$D$2)*(1-$D67))* (($E67*$E$2)+(1-$E$2)*(1-$E67))*
(($F67*$F$2)+(1-$F$2)*(1-$F67))* (($G67*$G$2)+(1-$G$2)*(1-$G67)))*$M67</f>
        <v>0.050421</v>
      </c>
      <c r="I67" s="6" t="n">
        <f aca="false">PRODUCT(IF(B67=1,0.6,1-0.6), IF(A67=1,0.6,1-0.6),
        IF(C67=1,0.6,1-0.6),
        IF(D67=1,0.6,1-0.6),
        IF(E67=1,0.6,1-0.6),
        IF(F67=1,0.6,1-0.6),
        IF(G67=1,0.6,1-0.6)) * M67</f>
        <v>0.0186624</v>
      </c>
      <c r="J67" s="6" t="n">
        <f aca="false">PRODUCT(IF(B67=1,0.7,1-0.7), IF(A67=1,0.7,1-0.7),
          IF(C67=1,0.7,1-0.7),
          IF(D67=1,0.7,1-0.7),
          IF(E67=1,0.7,1-0.7),
          IF(F67=1,0.7,1-0.7),
          IF(G67=1,0.7,1-0.7)) * M67</f>
        <v>0.0352947</v>
      </c>
      <c r="K67" s="6" t="n">
        <f aca="false">PRODUCT(IF(B67=1,0.8,1-0.8),IF(A67=1,0.8,1-0.8),
          IF(C67=1,0.8,1-0.8),
          IF(D67=1,0.8,1-0.8),
          IF(E67=1,0.8,1-0.8),
          IF(F67=1,0.8,1-0.8),
          IF(G67=1,0.8,1-0.8)) * M67</f>
        <v>0.0524288</v>
      </c>
      <c r="L67" s="6" t="n">
        <f aca="false">PRODUCT(IF(B67=1,0.9,1-0.9), IF(A67=1,0.9,1-0.9),
          IF(C67=1,0.9,1-0.9),
          IF(D67=1,0.9,1-0.9),
          IF(E67=1,0.9,1-0.9),
          IF(F67=1,0.9,1-0.9),
          IF(G67=1,0.9,1-0.9)) * M67</f>
        <v>0.0531441</v>
      </c>
      <c r="M67" s="2" t="n">
        <f aca="false">IF(C67=1,1,IF(AND(B67=1,A67=1,G67=1,D67=1),1,IF(AND(B67=1,A67=1,F67=1,D67=1,E67=1)
,1,0)))</f>
        <v>1</v>
      </c>
    </row>
    <row r="68" customFormat="false" ht="13.8" hidden="false" customHeight="false" outlineLevel="0" collapsed="false">
      <c r="A68" s="2" t="n">
        <v>1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1" t="n">
        <f aca="false"> ((($A68*$A$2)+(1-$A$2)*(1-$A68))* (($B68*$B$2)+(1-$B$2)*(1-$B68)) *(($C68*$C$2)+(1-
$C$2)*(1-$C68))* (($D68*$D$2)+(1-$D$2)*(1-$D68))* (($E68*$E$2)+(1-$E$2)*(1-$E68))*
(($F68*$F$2)+(1-$F$2)*(1-$F68))* (($G68*$G$2)+(1-$G$2)*(1-$G68)))*$M68</f>
        <v>0</v>
      </c>
      <c r="I68" s="6" t="n">
        <f aca="false">PRODUCT(IF(B68=1,0.6,1-0.6), IF(A68=1,0.6,1-0.6),
        IF(C68=1,0.6,1-0.6),
        IF(D68=1,0.6,1-0.6),
        IF(E68=1,0.6,1-0.6),
        IF(F68=1,0.6,1-0.6),
        IF(G68=1,0.6,1-0.6)) * M68</f>
        <v>0</v>
      </c>
      <c r="J68" s="6" t="n">
        <f aca="false">PRODUCT(IF(B68=1,0.7,1-0.7), IF(A68=1,0.7,1-0.7),
          IF(C68=1,0.7,1-0.7),
          IF(D68=1,0.7,1-0.7),
          IF(E68=1,0.7,1-0.7),
          IF(F68=1,0.7,1-0.7),
          IF(G68=1,0.7,1-0.7)) * M68</f>
        <v>0</v>
      </c>
      <c r="K68" s="6" t="n">
        <f aca="false">PRODUCT(IF(B68=1,0.8,1-0.8),IF(A68=1,0.8,1-0.8),
          IF(C68=1,0.8,1-0.8),
          IF(D68=1,0.8,1-0.8),
          IF(E68=1,0.8,1-0.8),
          IF(F68=1,0.8,1-0.8),
          IF(G68=1,0.8,1-0.8)) * M68</f>
        <v>0</v>
      </c>
      <c r="L68" s="6" t="n">
        <f aca="false">PRODUCT(IF(B68=1,0.9,1-0.9), IF(A68=1,0.9,1-0.9),
          IF(C68=1,0.9,1-0.9),
          IF(D68=1,0.9,1-0.9),
          IF(E68=1,0.9,1-0.9),
          IF(F68=1,0.9,1-0.9),
          IF(G68=1,0.9,1-0.9)) * M68</f>
        <v>0</v>
      </c>
      <c r="M68" s="2" t="n">
        <f aca="false">IF(C68=1,1,IF(AND(B68=1,A68=1,G68=1,D68=1),1,IF(AND(B68=1,A68=1,F68=1,D68=1,E68=1)
,1,0)))</f>
        <v>0</v>
      </c>
    </row>
    <row r="69" customFormat="false" ht="13.8" hidden="false" customHeight="false" outlineLevel="0" collapsed="false">
      <c r="A69" s="2" t="n">
        <v>1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1</v>
      </c>
      <c r="H69" s="1" t="n">
        <f aca="false"> ((($A69*$A$2)+(1-$A$2)*(1-$A69))* (($B69*$B$2)+(1-$B$2)*(1-$B69)) *(($C69*$C$2)+(1-
$C$2)*(1-$C69))* (($D69*$D$2)+(1-$D$2)*(1-$D69))* (($E69*$E$2)+(1-$E$2)*(1-$E69))*
(($F69*$F$2)+(1-$F$2)*(1-$F69))* (($G69*$G$2)+(1-$G$2)*(1-$G69)))*$M69</f>
        <v>0</v>
      </c>
      <c r="I69" s="6" t="n">
        <f aca="false">PRODUCT(IF(B69=1,0.6,1-0.6), IF(A69=1,0.6,1-0.6),
        IF(C69=1,0.6,1-0.6),
        IF(D69=1,0.6,1-0.6),
        IF(E69=1,0.6,1-0.6),
        IF(F69=1,0.6,1-0.6),
        IF(G69=1,0.6,1-0.6)) * M69</f>
        <v>0</v>
      </c>
      <c r="J69" s="6" t="n">
        <f aca="false">PRODUCT(IF(B69=1,0.7,1-0.7), IF(A69=1,0.7,1-0.7),
          IF(C69=1,0.7,1-0.7),
          IF(D69=1,0.7,1-0.7),
          IF(E69=1,0.7,1-0.7),
          IF(F69=1,0.7,1-0.7),
          IF(G69=1,0.7,1-0.7)) * M69</f>
        <v>0</v>
      </c>
      <c r="K69" s="6" t="n">
        <f aca="false">PRODUCT(IF(B69=1,0.8,1-0.8),IF(A69=1,0.8,1-0.8),
          IF(C69=1,0.8,1-0.8),
          IF(D69=1,0.8,1-0.8),
          IF(E69=1,0.8,1-0.8),
          IF(F69=1,0.8,1-0.8),
          IF(G69=1,0.8,1-0.8)) * M69</f>
        <v>0</v>
      </c>
      <c r="L69" s="6" t="n">
        <f aca="false">PRODUCT(IF(B69=1,0.9,1-0.9), IF(A69=1,0.9,1-0.9),
          IF(C69=1,0.9,1-0.9),
          IF(D69=1,0.9,1-0.9),
          IF(E69=1,0.9,1-0.9),
          IF(F69=1,0.9,1-0.9),
          IF(G69=1,0.9,1-0.9)) * M69</f>
        <v>0</v>
      </c>
      <c r="M69" s="2" t="n">
        <f aca="false">IF(C69=1,1,IF(AND(B69=1,A69=1,G69=1,D69=1),1,IF(AND(B69=1,A69=1,F69=1,D69=1,E69=1)
,1,0)))</f>
        <v>0</v>
      </c>
    </row>
    <row r="70" customFormat="false" ht="13.8" hidden="false" customHeight="false" outlineLevel="0" collapsed="false">
      <c r="A70" s="2" t="n">
        <v>1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1</v>
      </c>
      <c r="G70" s="2" t="n">
        <v>0</v>
      </c>
      <c r="H70" s="1" t="n">
        <f aca="false"> ((($A70*$A$2)+(1-$A$2)*(1-$A70))* (($B70*$B$2)+(1-$B$2)*(1-$B70)) *(($C70*$C$2)+(1-
$C$2)*(1-$C70))* (($D70*$D$2)+(1-$D$2)*(1-$D70))* (($E70*$E$2)+(1-$E$2)*(1-$E70))*
(($F70*$F$2)+(1-$F$2)*(1-$F70))* (($G70*$G$2)+(1-$G$2)*(1-$G70)))*$M70</f>
        <v>0</v>
      </c>
      <c r="I70" s="6" t="n">
        <f aca="false">PRODUCT(IF(B70=1,0.6,1-0.6), IF(A70=1,0.6,1-0.6),
        IF(C70=1,0.6,1-0.6),
        IF(D70=1,0.6,1-0.6),
        IF(E70=1,0.6,1-0.6),
        IF(F70=1,0.6,1-0.6),
        IF(G70=1,0.6,1-0.6)) * M70</f>
        <v>0</v>
      </c>
      <c r="J70" s="6" t="n">
        <f aca="false">PRODUCT(IF(B70=1,0.7,1-0.7), IF(A70=1,0.7,1-0.7),
          IF(C70=1,0.7,1-0.7),
          IF(D70=1,0.7,1-0.7),
          IF(E70=1,0.7,1-0.7),
          IF(F70=1,0.7,1-0.7),
          IF(G70=1,0.7,1-0.7)) * M70</f>
        <v>0</v>
      </c>
      <c r="K70" s="6" t="n">
        <f aca="false">PRODUCT(IF(B70=1,0.8,1-0.8),IF(A70=1,0.8,1-0.8),
          IF(C70=1,0.8,1-0.8),
          IF(D70=1,0.8,1-0.8),
          IF(E70=1,0.8,1-0.8),
          IF(F70=1,0.8,1-0.8),
          IF(G70=1,0.8,1-0.8)) * M70</f>
        <v>0</v>
      </c>
      <c r="L70" s="6" t="n">
        <f aca="false">PRODUCT(IF(B70=1,0.9,1-0.9), IF(A70=1,0.9,1-0.9),
          IF(C70=1,0.9,1-0.9),
          IF(D70=1,0.9,1-0.9),
          IF(E70=1,0.9,1-0.9),
          IF(F70=1,0.9,1-0.9),
          IF(G70=1,0.9,1-0.9)) * M70</f>
        <v>0</v>
      </c>
      <c r="M70" s="2" t="n">
        <f aca="false">IF(C70=1,1,IF(AND(B70=1,A70=1,G70=1,D70=1),1,IF(AND(B70=1,A70=1,F70=1,D70=1,E70=1)
,1,0)))</f>
        <v>0</v>
      </c>
    </row>
    <row r="71" customFormat="false" ht="13.8" hidden="false" customHeight="false" outlineLevel="0" collapsed="false">
      <c r="A71" s="2" t="n">
        <v>1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1</v>
      </c>
      <c r="G71" s="2" t="n">
        <v>1</v>
      </c>
      <c r="H71" s="1" t="n">
        <f aca="false"> ((($A71*$A$2)+(1-$A$2)*(1-$A71))* (($B71*$B$2)+(1-$B$2)*(1-$B71)) *(($C71*$C$2)+(1-
$C$2)*(1-$C71))* (($D71*$D$2)+(1-$D$2)*(1-$D71))* (($E71*$E$2)+(1-$E$2)*(1-$E71))*
(($F71*$F$2)+(1-$F$2)*(1-$F71))* (($G71*$G$2)+(1-$G$2)*(1-$G71)))*$M71</f>
        <v>0</v>
      </c>
      <c r="I71" s="6" t="n">
        <f aca="false">PRODUCT(IF(B71=1,0.6,1-0.6), IF(A71=1,0.6,1-0.6),
        IF(C71=1,0.6,1-0.6),
        IF(D71=1,0.6,1-0.6),
        IF(E71=1,0.6,1-0.6),
        IF(F71=1,0.6,1-0.6),
        IF(G71=1,0.6,1-0.6)) * M71</f>
        <v>0</v>
      </c>
      <c r="J71" s="6" t="n">
        <f aca="false">PRODUCT(IF(B71=1,0.7,1-0.7), IF(A71=1,0.7,1-0.7),
          IF(C71=1,0.7,1-0.7),
          IF(D71=1,0.7,1-0.7),
          IF(E71=1,0.7,1-0.7),
          IF(F71=1,0.7,1-0.7),
          IF(G71=1,0.7,1-0.7)) * M71</f>
        <v>0</v>
      </c>
      <c r="K71" s="6" t="n">
        <f aca="false">PRODUCT(IF(B71=1,0.8,1-0.8),IF(A71=1,0.8,1-0.8),
          IF(C71=1,0.8,1-0.8),
          IF(D71=1,0.8,1-0.8),
          IF(E71=1,0.8,1-0.8),
          IF(F71=1,0.8,1-0.8),
          IF(G71=1,0.8,1-0.8)) * M71</f>
        <v>0</v>
      </c>
      <c r="L71" s="6" t="n">
        <f aca="false">PRODUCT(IF(B71=1,0.9,1-0.9), IF(A71=1,0.9,1-0.9),
          IF(C71=1,0.9,1-0.9),
          IF(D71=1,0.9,1-0.9),
          IF(E71=1,0.9,1-0.9),
          IF(F71=1,0.9,1-0.9),
          IF(G71=1,0.9,1-0.9)) * M71</f>
        <v>0</v>
      </c>
      <c r="M71" s="2" t="n">
        <f aca="false">IF(C71=1,1,IF(AND(B71=1,A71=1,G71=1,D71=1),1,IF(AND(B71=1,A71=1,F71=1,D71=1,E71=1)
,1,0)))</f>
        <v>0</v>
      </c>
    </row>
    <row r="72" customFormat="false" ht="13.8" hidden="false" customHeight="false" outlineLevel="0" collapsed="false">
      <c r="A72" s="2" t="n">
        <v>1</v>
      </c>
      <c r="B72" s="2" t="n">
        <v>0</v>
      </c>
      <c r="C72" s="2" t="n">
        <v>0</v>
      </c>
      <c r="D72" s="2" t="n">
        <v>0</v>
      </c>
      <c r="E72" s="2" t="n">
        <v>1</v>
      </c>
      <c r="F72" s="2" t="n">
        <v>0</v>
      </c>
      <c r="G72" s="2" t="n">
        <v>0</v>
      </c>
      <c r="H72" s="1" t="n">
        <f aca="false"> ((($A72*$A$2)+(1-$A$2)*(1-$A72))* (($B72*$B$2)+(1-$B$2)*(1-$B72)) *(($C72*$C$2)+(1-
$C$2)*(1-$C72))* (($D72*$D$2)+(1-$D$2)*(1-$D72))* (($E72*$E$2)+(1-$E$2)*(1-$E72))*
(($F72*$F$2)+(1-$F$2)*(1-$F72))* (($G72*$G$2)+(1-$G$2)*(1-$G72)))*$M72</f>
        <v>0</v>
      </c>
      <c r="I72" s="6" t="n">
        <f aca="false">PRODUCT(IF(B72=1,0.6,1-0.6), IF(A72=1,0.6,1-0.6),
        IF(C72=1,0.6,1-0.6),
        IF(D72=1,0.6,1-0.6),
        IF(E72=1,0.6,1-0.6),
        IF(F72=1,0.6,1-0.6),
        IF(G72=1,0.6,1-0.6)) * M72</f>
        <v>0</v>
      </c>
      <c r="J72" s="6" t="n">
        <f aca="false">PRODUCT(IF(B72=1,0.7,1-0.7), IF(A72=1,0.7,1-0.7),
          IF(C72=1,0.7,1-0.7),
          IF(D72=1,0.7,1-0.7),
          IF(E72=1,0.7,1-0.7),
          IF(F72=1,0.7,1-0.7),
          IF(G72=1,0.7,1-0.7)) * M72</f>
        <v>0</v>
      </c>
      <c r="K72" s="6" t="n">
        <f aca="false">PRODUCT(IF(B72=1,0.8,1-0.8),IF(A72=1,0.8,1-0.8),
          IF(C72=1,0.8,1-0.8),
          IF(D72=1,0.8,1-0.8),
          IF(E72=1,0.8,1-0.8),
          IF(F72=1,0.8,1-0.8),
          IF(G72=1,0.8,1-0.8)) * M72</f>
        <v>0</v>
      </c>
      <c r="L72" s="6" t="n">
        <f aca="false">PRODUCT(IF(B72=1,0.9,1-0.9), IF(A72=1,0.9,1-0.9),
          IF(C72=1,0.9,1-0.9),
          IF(D72=1,0.9,1-0.9),
          IF(E72=1,0.9,1-0.9),
          IF(F72=1,0.9,1-0.9),
          IF(G72=1,0.9,1-0.9)) * M72</f>
        <v>0</v>
      </c>
      <c r="M72" s="2" t="n">
        <f aca="false">IF(C72=1,1,IF(AND(B72=1,A72=1,G72=1,D72=1),1,IF(AND(B72=1,A72=1,F72=1,D72=1,E72=1)
,1,0)))</f>
        <v>0</v>
      </c>
    </row>
    <row r="73" customFormat="false" ht="13.8" hidden="false" customHeight="false" outlineLevel="0" collapsed="false">
      <c r="A73" s="2" t="n">
        <v>1</v>
      </c>
      <c r="B73" s="2" t="n">
        <v>0</v>
      </c>
      <c r="C73" s="2" t="n">
        <v>0</v>
      </c>
      <c r="D73" s="2" t="n">
        <v>0</v>
      </c>
      <c r="E73" s="2" t="n">
        <v>1</v>
      </c>
      <c r="F73" s="2" t="n">
        <v>0</v>
      </c>
      <c r="G73" s="2" t="n">
        <v>1</v>
      </c>
      <c r="H73" s="1" t="n">
        <f aca="false"> ((($A73*$A$2)+(1-$A$2)*(1-$A73))* (($B73*$B$2)+(1-$B$2)*(1-$B73)) *(($C73*$C$2)+(1-
$C$2)*(1-$C73))* (($D73*$D$2)+(1-$D$2)*(1-$D73))* (($E73*$E$2)+(1-$E$2)*(1-$E73))*
(($F73*$F$2)+(1-$F$2)*(1-$F73))* (($G73*$G$2)+(1-$G$2)*(1-$G73)))*$M73</f>
        <v>0</v>
      </c>
      <c r="I73" s="6" t="n">
        <f aca="false">PRODUCT(IF(B73=1,0.6,1-0.6), IF(A73=1,0.6,1-0.6),
        IF(C73=1,0.6,1-0.6),
        IF(D73=1,0.6,1-0.6),
        IF(E73=1,0.6,1-0.6),
        IF(F73=1,0.6,1-0.6),
        IF(G73=1,0.6,1-0.6)) * M73</f>
        <v>0</v>
      </c>
      <c r="J73" s="6" t="n">
        <f aca="false">PRODUCT(IF(B73=1,0.7,1-0.7), IF(A73=1,0.7,1-0.7),
          IF(C73=1,0.7,1-0.7),
          IF(D73=1,0.7,1-0.7),
          IF(E73=1,0.7,1-0.7),
          IF(F73=1,0.7,1-0.7),
          IF(G73=1,0.7,1-0.7)) * M73</f>
        <v>0</v>
      </c>
      <c r="K73" s="6" t="n">
        <f aca="false">PRODUCT(IF(B73=1,0.8,1-0.8),IF(A73=1,0.8,1-0.8),
          IF(C73=1,0.8,1-0.8),
          IF(D73=1,0.8,1-0.8),
          IF(E73=1,0.8,1-0.8),
          IF(F73=1,0.8,1-0.8),
          IF(G73=1,0.8,1-0.8)) * M73</f>
        <v>0</v>
      </c>
      <c r="L73" s="6" t="n">
        <f aca="false">PRODUCT(IF(B73=1,0.9,1-0.9), IF(A73=1,0.9,1-0.9),
          IF(C73=1,0.9,1-0.9),
          IF(D73=1,0.9,1-0.9),
          IF(E73=1,0.9,1-0.9),
          IF(F73=1,0.9,1-0.9),
          IF(G73=1,0.9,1-0.9)) * M73</f>
        <v>0</v>
      </c>
      <c r="M73" s="2" t="n">
        <f aca="false">IF(C73=1,1,IF(AND(B73=1,A73=1,G73=1,D73=1),1,IF(AND(B73=1,A73=1,F73=1,D73=1,E73=1)
,1,0)))</f>
        <v>0</v>
      </c>
    </row>
    <row r="74" customFormat="false" ht="13.8" hidden="false" customHeight="false" outlineLevel="0" collapsed="false">
      <c r="A74" s="2" t="n">
        <v>1</v>
      </c>
      <c r="B74" s="2" t="n">
        <v>0</v>
      </c>
      <c r="C74" s="2" t="n">
        <v>0</v>
      </c>
      <c r="D74" s="2" t="n">
        <v>0</v>
      </c>
      <c r="E74" s="2" t="n">
        <v>1</v>
      </c>
      <c r="F74" s="2" t="n">
        <v>1</v>
      </c>
      <c r="G74" s="2" t="n">
        <v>0</v>
      </c>
      <c r="H74" s="1" t="n">
        <f aca="false"> ((($A74*$A$2)+(1-$A$2)*(1-$A74))* (($B74*$B$2)+(1-$B$2)*(1-$B74)) *(($C74*$C$2)+(1-
$C$2)*(1-$C74))* (($D74*$D$2)+(1-$D$2)*(1-$D74))* (($E74*$E$2)+(1-$E$2)*(1-$E74))*
(($F74*$F$2)+(1-$F$2)*(1-$F74))* (($G74*$G$2)+(1-$G$2)*(1-$G74)))*$M74</f>
        <v>0</v>
      </c>
      <c r="I74" s="6" t="n">
        <f aca="false">PRODUCT(IF(B74=1,0.6,1-0.6), IF(A74=1,0.6,1-0.6),
        IF(C74=1,0.6,1-0.6),
        IF(D74=1,0.6,1-0.6),
        IF(E74=1,0.6,1-0.6),
        IF(F74=1,0.6,1-0.6),
        IF(G74=1,0.6,1-0.6)) * M74</f>
        <v>0</v>
      </c>
      <c r="J74" s="6" t="n">
        <f aca="false">PRODUCT(IF(B74=1,0.7,1-0.7), IF(A74=1,0.7,1-0.7),
          IF(C74=1,0.7,1-0.7),
          IF(D74=1,0.7,1-0.7),
          IF(E74=1,0.7,1-0.7),
          IF(F74=1,0.7,1-0.7),
          IF(G74=1,0.7,1-0.7)) * M74</f>
        <v>0</v>
      </c>
      <c r="K74" s="6" t="n">
        <f aca="false">PRODUCT(IF(B74=1,0.8,1-0.8),IF(A74=1,0.8,1-0.8),
          IF(C74=1,0.8,1-0.8),
          IF(D74=1,0.8,1-0.8),
          IF(E74=1,0.8,1-0.8),
          IF(F74=1,0.8,1-0.8),
          IF(G74=1,0.8,1-0.8)) * M74</f>
        <v>0</v>
      </c>
      <c r="L74" s="6" t="n">
        <f aca="false">PRODUCT(IF(B74=1,0.9,1-0.9), IF(A74=1,0.9,1-0.9),
          IF(C74=1,0.9,1-0.9),
          IF(D74=1,0.9,1-0.9),
          IF(E74=1,0.9,1-0.9),
          IF(F74=1,0.9,1-0.9),
          IF(G74=1,0.9,1-0.9)) * M74</f>
        <v>0</v>
      </c>
      <c r="M74" s="2" t="n">
        <f aca="false">IF(C74=1,1,IF(AND(B74=1,A74=1,G74=1,D74=1),1,IF(AND(B74=1,A74=1,F74=1,D74=1,E74=1)
,1,0)))</f>
        <v>0</v>
      </c>
    </row>
    <row r="75" customFormat="false" ht="13.8" hidden="false" customHeight="false" outlineLevel="0" collapsed="false">
      <c r="A75" s="2" t="n">
        <v>1</v>
      </c>
      <c r="B75" s="2" t="n">
        <v>0</v>
      </c>
      <c r="C75" s="2" t="n">
        <v>0</v>
      </c>
      <c r="D75" s="2" t="n">
        <v>0</v>
      </c>
      <c r="E75" s="2" t="n">
        <v>1</v>
      </c>
      <c r="F75" s="2" t="n">
        <v>1</v>
      </c>
      <c r="G75" s="2" t="n">
        <v>1</v>
      </c>
      <c r="H75" s="1" t="n">
        <f aca="false"> ((($A75*$A$2)+(1-$A$2)*(1-$A75))* (($B75*$B$2)+(1-$B$2)*(1-$B75)) *(($C75*$C$2)+(1-
$C$2)*(1-$C75))* (($D75*$D$2)+(1-$D$2)*(1-$D75))* (($E75*$E$2)+(1-$E$2)*(1-$E75))*
(($F75*$F$2)+(1-$F$2)*(1-$F75))* (($G75*$G$2)+(1-$G$2)*(1-$G75)))*$M75</f>
        <v>0</v>
      </c>
      <c r="I75" s="6" t="n">
        <f aca="false">PRODUCT(IF(B75=1,0.6,1-0.6), IF(A75=1,0.6,1-0.6),
        IF(C75=1,0.6,1-0.6),
        IF(D75=1,0.6,1-0.6),
        IF(E75=1,0.6,1-0.6),
        IF(F75=1,0.6,1-0.6),
        IF(G75=1,0.6,1-0.6)) * M75</f>
        <v>0</v>
      </c>
      <c r="J75" s="6" t="n">
        <f aca="false">PRODUCT(IF(B75=1,0.7,1-0.7), IF(A75=1,0.7,1-0.7),
          IF(C75=1,0.7,1-0.7),
          IF(D75=1,0.7,1-0.7),
          IF(E75=1,0.7,1-0.7),
          IF(F75=1,0.7,1-0.7),
          IF(G75=1,0.7,1-0.7)) * M75</f>
        <v>0</v>
      </c>
      <c r="K75" s="6" t="n">
        <f aca="false">PRODUCT(IF(B75=1,0.8,1-0.8),IF(A75=1,0.8,1-0.8),
          IF(C75=1,0.8,1-0.8),
          IF(D75=1,0.8,1-0.8),
          IF(E75=1,0.8,1-0.8),
          IF(F75=1,0.8,1-0.8),
          IF(G75=1,0.8,1-0.8)) * M75</f>
        <v>0</v>
      </c>
      <c r="L75" s="6" t="n">
        <f aca="false">PRODUCT(IF(B75=1,0.9,1-0.9), IF(A75=1,0.9,1-0.9),
          IF(C75=1,0.9,1-0.9),
          IF(D75=1,0.9,1-0.9),
          IF(E75=1,0.9,1-0.9),
          IF(F75=1,0.9,1-0.9),
          IF(G75=1,0.9,1-0.9)) * M75</f>
        <v>0</v>
      </c>
      <c r="M75" s="2" t="n">
        <f aca="false">IF(C75=1,1,IF(AND(B75=1,A75=1,G75=1,D75=1),1,IF(AND(B75=1,A75=1,F75=1,D75=1,E75=1)
,1,0)))</f>
        <v>0</v>
      </c>
    </row>
    <row r="76" customFormat="false" ht="13.8" hidden="false" customHeight="false" outlineLevel="0" collapsed="false">
      <c r="A76" s="2" t="n">
        <v>1</v>
      </c>
      <c r="B76" s="2" t="n">
        <v>0</v>
      </c>
      <c r="C76" s="2" t="n">
        <v>0</v>
      </c>
      <c r="D76" s="2" t="n">
        <v>1</v>
      </c>
      <c r="E76" s="2" t="n">
        <v>0</v>
      </c>
      <c r="F76" s="2" t="n">
        <v>0</v>
      </c>
      <c r="G76" s="2" t="n">
        <v>0</v>
      </c>
      <c r="H76" s="1" t="n">
        <f aca="false"> ((($A76*$A$2)+(1-$A$2)*(1-$A76))* (($B76*$B$2)+(1-$B$2)*(1-$B76)) *(($C76*$C$2)+(1-
$C$2)*(1-$C76))* (($D76*$D$2)+(1-$D$2)*(1-$D76))* (($E76*$E$2)+(1-$E$2)*(1-$E76))*
(($F76*$F$2)+(1-$F$2)*(1-$F76))* (($G76*$G$2)+(1-$G$2)*(1-$G76)))*$M76</f>
        <v>0</v>
      </c>
      <c r="I76" s="6" t="n">
        <f aca="false">PRODUCT(IF(B76=1,0.6,1-0.6), IF(A76=1,0.6,1-0.6),
        IF(C76=1,0.6,1-0.6),
        IF(D76=1,0.6,1-0.6),
        IF(E76=1,0.6,1-0.6),
        IF(F76=1,0.6,1-0.6),
        IF(G76=1,0.6,1-0.6)) * M76</f>
        <v>0</v>
      </c>
      <c r="J76" s="6" t="n">
        <f aca="false">PRODUCT(IF(B76=1,0.7,1-0.7), IF(A76=1,0.7,1-0.7),
          IF(C76=1,0.7,1-0.7),
          IF(D76=1,0.7,1-0.7),
          IF(E76=1,0.7,1-0.7),
          IF(F76=1,0.7,1-0.7),
          IF(G76=1,0.7,1-0.7)) * M76</f>
        <v>0</v>
      </c>
      <c r="K76" s="6" t="n">
        <f aca="false">PRODUCT(IF(B76=1,0.8,1-0.8),IF(A76=1,0.8,1-0.8),
          IF(C76=1,0.8,1-0.8),
          IF(D76=1,0.8,1-0.8),
          IF(E76=1,0.8,1-0.8),
          IF(F76=1,0.8,1-0.8),
          IF(G76=1,0.8,1-0.8)) * M76</f>
        <v>0</v>
      </c>
      <c r="L76" s="6" t="n">
        <f aca="false">PRODUCT(IF(B76=1,0.9,1-0.9), IF(A76=1,0.9,1-0.9),
          IF(C76=1,0.9,1-0.9),
          IF(D76=1,0.9,1-0.9),
          IF(E76=1,0.9,1-0.9),
          IF(F76=1,0.9,1-0.9),
          IF(G76=1,0.9,1-0.9)) * M76</f>
        <v>0</v>
      </c>
      <c r="M76" s="2" t="n">
        <f aca="false">IF(C76=1,1,IF(AND(B76=1,A76=1,G76=1,D76=1),1,IF(AND(B76=1,A76=1,F76=1,D76=1,E76=1)
,1,0)))</f>
        <v>0</v>
      </c>
    </row>
    <row r="77" customFormat="false" ht="13.8" hidden="false" customHeight="false" outlineLevel="0" collapsed="false">
      <c r="A77" s="2" t="n">
        <v>1</v>
      </c>
      <c r="B77" s="2" t="n">
        <v>0</v>
      </c>
      <c r="C77" s="2" t="n">
        <v>0</v>
      </c>
      <c r="D77" s="2" t="n">
        <v>1</v>
      </c>
      <c r="E77" s="2" t="n">
        <v>0</v>
      </c>
      <c r="F77" s="2" t="n">
        <v>0</v>
      </c>
      <c r="G77" s="2" t="n">
        <v>1</v>
      </c>
      <c r="H77" s="1" t="n">
        <f aca="false"> ((($A77*$A$2)+(1-$A$2)*(1-$A77))* (($B77*$B$2)+(1-$B$2)*(1-$B77)) *(($C77*$C$2)+(1-
$C$2)*(1-$C77))* (($D77*$D$2)+(1-$D$2)*(1-$D77))* (($E77*$E$2)+(1-$E$2)*(1-$E77))*
(($F77*$F$2)+(1-$F$2)*(1-$F77))* (($G77*$G$2)+(1-$G$2)*(1-$G77)))*$M77</f>
        <v>0</v>
      </c>
      <c r="I77" s="6" t="n">
        <f aca="false">PRODUCT(IF(B77=1,0.6,1-0.6), IF(A77=1,0.6,1-0.6),
        IF(C77=1,0.6,1-0.6),
        IF(D77=1,0.6,1-0.6),
        IF(E77=1,0.6,1-0.6),
        IF(F77=1,0.6,1-0.6),
        IF(G77=1,0.6,1-0.6)) * M77</f>
        <v>0</v>
      </c>
      <c r="J77" s="6" t="n">
        <f aca="false">PRODUCT(IF(B77=1,0.7,1-0.7), IF(A77=1,0.7,1-0.7),
          IF(C77=1,0.7,1-0.7),
          IF(D77=1,0.7,1-0.7),
          IF(E77=1,0.7,1-0.7),
          IF(F77=1,0.7,1-0.7),
          IF(G77=1,0.7,1-0.7)) * M77</f>
        <v>0</v>
      </c>
      <c r="K77" s="6" t="n">
        <f aca="false">PRODUCT(IF(B77=1,0.8,1-0.8),IF(A77=1,0.8,1-0.8),
          IF(C77=1,0.8,1-0.8),
          IF(D77=1,0.8,1-0.8),
          IF(E77=1,0.8,1-0.8),
          IF(F77=1,0.8,1-0.8),
          IF(G77=1,0.8,1-0.8)) * M77</f>
        <v>0</v>
      </c>
      <c r="L77" s="6" t="n">
        <f aca="false">PRODUCT(IF(B77=1,0.9,1-0.9), IF(A77=1,0.9,1-0.9),
          IF(C77=1,0.9,1-0.9),
          IF(D77=1,0.9,1-0.9),
          IF(E77=1,0.9,1-0.9),
          IF(F77=1,0.9,1-0.9),
          IF(G77=1,0.9,1-0.9)) * M77</f>
        <v>0</v>
      </c>
      <c r="M77" s="2" t="n">
        <f aca="false">IF(C77=1,1,IF(AND(B77=1,A77=1,G77=1,D77=1),1,IF(AND(B77=1,A77=1,F77=1,D77=1,E77=1)
,1,0)))</f>
        <v>0</v>
      </c>
    </row>
    <row r="78" customFormat="false" ht="13.8" hidden="false" customHeight="false" outlineLevel="0" collapsed="false">
      <c r="A78" s="2" t="n">
        <v>1</v>
      </c>
      <c r="B78" s="2" t="n">
        <v>0</v>
      </c>
      <c r="C78" s="2" t="n">
        <v>0</v>
      </c>
      <c r="D78" s="2" t="n">
        <v>1</v>
      </c>
      <c r="E78" s="2" t="n">
        <v>0</v>
      </c>
      <c r="F78" s="2" t="n">
        <v>1</v>
      </c>
      <c r="G78" s="2" t="n">
        <v>0</v>
      </c>
      <c r="H78" s="1" t="n">
        <f aca="false"> ((($A78*$A$2)+(1-$A$2)*(1-$A78))* (($B78*$B$2)+(1-$B$2)*(1-$B78)) *(($C78*$C$2)+(1-
$C$2)*(1-$C78))* (($D78*$D$2)+(1-$D$2)*(1-$D78))* (($E78*$E$2)+(1-$E$2)*(1-$E78))*
(($F78*$F$2)+(1-$F$2)*(1-$F78))* (($G78*$G$2)+(1-$G$2)*(1-$G78)))*$M78</f>
        <v>0</v>
      </c>
      <c r="I78" s="6" t="n">
        <f aca="false">PRODUCT(IF(B78=1,0.6,1-0.6), IF(A78=1,0.6,1-0.6),
        IF(C78=1,0.6,1-0.6),
        IF(D78=1,0.6,1-0.6),
        IF(E78=1,0.6,1-0.6),
        IF(F78=1,0.6,1-0.6),
        IF(G78=1,0.6,1-0.6)) * M78</f>
        <v>0</v>
      </c>
      <c r="J78" s="6" t="n">
        <f aca="false">PRODUCT(IF(B78=1,0.7,1-0.7), IF(A78=1,0.7,1-0.7),
          IF(C78=1,0.7,1-0.7),
          IF(D78=1,0.7,1-0.7),
          IF(E78=1,0.7,1-0.7),
          IF(F78=1,0.7,1-0.7),
          IF(G78=1,0.7,1-0.7)) * M78</f>
        <v>0</v>
      </c>
      <c r="K78" s="6" t="n">
        <f aca="false">PRODUCT(IF(B78=1,0.8,1-0.8),IF(A78=1,0.8,1-0.8),
          IF(C78=1,0.8,1-0.8),
          IF(D78=1,0.8,1-0.8),
          IF(E78=1,0.8,1-0.8),
          IF(F78=1,0.8,1-0.8),
          IF(G78=1,0.8,1-0.8)) * M78</f>
        <v>0</v>
      </c>
      <c r="L78" s="6" t="n">
        <f aca="false">PRODUCT(IF(B78=1,0.9,1-0.9), IF(A78=1,0.9,1-0.9),
          IF(C78=1,0.9,1-0.9),
          IF(D78=1,0.9,1-0.9),
          IF(E78=1,0.9,1-0.9),
          IF(F78=1,0.9,1-0.9),
          IF(G78=1,0.9,1-0.9)) * M78</f>
        <v>0</v>
      </c>
      <c r="M78" s="2" t="n">
        <f aca="false">IF(C78=1,1,IF(AND(B78=1,A78=1,G78=1,D78=1),1,IF(AND(B78=1,A78=1,F78=1,D78=1,E78=1)
,1,0)))</f>
        <v>0</v>
      </c>
    </row>
    <row r="79" customFormat="false" ht="13.8" hidden="false" customHeight="false" outlineLevel="0" collapsed="false">
      <c r="A79" s="2" t="n">
        <v>1</v>
      </c>
      <c r="B79" s="2" t="n">
        <v>0</v>
      </c>
      <c r="C79" s="2" t="n">
        <v>0</v>
      </c>
      <c r="D79" s="2" t="n">
        <v>1</v>
      </c>
      <c r="E79" s="2" t="n">
        <v>0</v>
      </c>
      <c r="F79" s="2" t="n">
        <v>1</v>
      </c>
      <c r="G79" s="2" t="n">
        <v>1</v>
      </c>
      <c r="H79" s="1" t="n">
        <f aca="false"> ((($A79*$A$2)+(1-$A$2)*(1-$A79))* (($B79*$B$2)+(1-$B$2)*(1-$B79)) *(($C79*$C$2)+(1-
$C$2)*(1-$C79))* (($D79*$D$2)+(1-$D$2)*(1-$D79))* (($E79*$E$2)+(1-$E$2)*(1-$E79))*
(($F79*$F$2)+(1-$F$2)*(1-$F79))* (($G79*$G$2)+(1-$G$2)*(1-$G79)))*$M79</f>
        <v>0</v>
      </c>
      <c r="I79" s="6" t="n">
        <f aca="false">PRODUCT(IF(B79=1,0.6,1-0.6), IF(A79=1,0.6,1-0.6),
        IF(C79=1,0.6,1-0.6),
        IF(D79=1,0.6,1-0.6),
        IF(E79=1,0.6,1-0.6),
        IF(F79=1,0.6,1-0.6),
        IF(G79=1,0.6,1-0.6)) * M79</f>
        <v>0</v>
      </c>
      <c r="J79" s="6" t="n">
        <f aca="false">PRODUCT(IF(B79=1,0.7,1-0.7), IF(A79=1,0.7,1-0.7),
          IF(C79=1,0.7,1-0.7),
          IF(D79=1,0.7,1-0.7),
          IF(E79=1,0.7,1-0.7),
          IF(F79=1,0.7,1-0.7),
          IF(G79=1,0.7,1-0.7)) * M79</f>
        <v>0</v>
      </c>
      <c r="K79" s="6" t="n">
        <f aca="false">PRODUCT(IF(B79=1,0.8,1-0.8),IF(A79=1,0.8,1-0.8),
          IF(C79=1,0.8,1-0.8),
          IF(D79=1,0.8,1-0.8),
          IF(E79=1,0.8,1-0.8),
          IF(F79=1,0.8,1-0.8),
          IF(G79=1,0.8,1-0.8)) * M79</f>
        <v>0</v>
      </c>
      <c r="L79" s="6" t="n">
        <f aca="false">PRODUCT(IF(B79=1,0.9,1-0.9), IF(A79=1,0.9,1-0.9),
          IF(C79=1,0.9,1-0.9),
          IF(D79=1,0.9,1-0.9),
          IF(E79=1,0.9,1-0.9),
          IF(F79=1,0.9,1-0.9),
          IF(G79=1,0.9,1-0.9)) * M79</f>
        <v>0</v>
      </c>
      <c r="M79" s="2" t="n">
        <f aca="false">IF(C79=1,1,IF(AND(B79=1,A79=1,G79=1,D79=1),1,IF(AND(B79=1,A79=1,F79=1,D79=1,E79=1)
,1,0)))</f>
        <v>0</v>
      </c>
    </row>
    <row r="80" customFormat="false" ht="13.8" hidden="false" customHeight="false" outlineLevel="0" collapsed="false">
      <c r="A80" s="2" t="n">
        <v>1</v>
      </c>
      <c r="B80" s="2" t="n">
        <v>0</v>
      </c>
      <c r="C80" s="2" t="n">
        <v>0</v>
      </c>
      <c r="D80" s="2" t="n">
        <v>1</v>
      </c>
      <c r="E80" s="2" t="n">
        <v>1</v>
      </c>
      <c r="F80" s="2" t="n">
        <v>0</v>
      </c>
      <c r="G80" s="2" t="n">
        <v>0</v>
      </c>
      <c r="H80" s="1" t="n">
        <f aca="false"> ((($A80*$A$2)+(1-$A$2)*(1-$A80))* (($B80*$B$2)+(1-$B$2)*(1-$B80)) *(($C80*$C$2)+(1-
$C$2)*(1-$C80))* (($D80*$D$2)+(1-$D$2)*(1-$D80))* (($E80*$E$2)+(1-$E$2)*(1-$E80))*
(($F80*$F$2)+(1-$F$2)*(1-$F80))* (($G80*$G$2)+(1-$G$2)*(1-$G80)))*$M80</f>
        <v>0</v>
      </c>
      <c r="I80" s="6" t="n">
        <f aca="false">PRODUCT(IF(B80=1,0.6,1-0.6), IF(A80=1,0.6,1-0.6),
        IF(C80=1,0.6,1-0.6),
        IF(D80=1,0.6,1-0.6),
        IF(E80=1,0.6,1-0.6),
        IF(F80=1,0.6,1-0.6),
        IF(G80=1,0.6,1-0.6)) * M80</f>
        <v>0</v>
      </c>
      <c r="J80" s="6" t="n">
        <f aca="false">PRODUCT(IF(B80=1,0.7,1-0.7), IF(A80=1,0.7,1-0.7),
          IF(C80=1,0.7,1-0.7),
          IF(D80=1,0.7,1-0.7),
          IF(E80=1,0.7,1-0.7),
          IF(F80=1,0.7,1-0.7),
          IF(G80=1,0.7,1-0.7)) * M80</f>
        <v>0</v>
      </c>
      <c r="K80" s="6" t="n">
        <f aca="false">PRODUCT(IF(B80=1,0.8,1-0.8),IF(A80=1,0.8,1-0.8),
          IF(C80=1,0.8,1-0.8),
          IF(D80=1,0.8,1-0.8),
          IF(E80=1,0.8,1-0.8),
          IF(F80=1,0.8,1-0.8),
          IF(G80=1,0.8,1-0.8)) * M80</f>
        <v>0</v>
      </c>
      <c r="L80" s="6" t="n">
        <f aca="false">PRODUCT(IF(B80=1,0.9,1-0.9), IF(A80=1,0.9,1-0.9),
          IF(C80=1,0.9,1-0.9),
          IF(D80=1,0.9,1-0.9),
          IF(E80=1,0.9,1-0.9),
          IF(F80=1,0.9,1-0.9),
          IF(G80=1,0.9,1-0.9)) * M80</f>
        <v>0</v>
      </c>
      <c r="M80" s="2" t="n">
        <f aca="false">IF(C80=1,1,IF(AND(B80=1,A80=1,G80=1,D80=1),1,IF(AND(B80=1,A80=1,F80=1,D80=1,E80=1)
,1,0)))</f>
        <v>0</v>
      </c>
    </row>
    <row r="81" customFormat="false" ht="13.8" hidden="false" customHeight="false" outlineLevel="0" collapsed="false">
      <c r="A81" s="2" t="n">
        <v>1</v>
      </c>
      <c r="B81" s="2" t="n">
        <v>0</v>
      </c>
      <c r="C81" s="2" t="n">
        <v>0</v>
      </c>
      <c r="D81" s="2" t="n">
        <v>1</v>
      </c>
      <c r="E81" s="2" t="n">
        <v>1</v>
      </c>
      <c r="F81" s="2" t="n">
        <v>0</v>
      </c>
      <c r="G81" s="2" t="n">
        <v>1</v>
      </c>
      <c r="H81" s="1" t="n">
        <f aca="false"> ((($A81*$A$2)+(1-$A$2)*(1-$A81))* (($B81*$B$2)+(1-$B$2)*(1-$B81)) *(($C81*$C$2)+(1-
$C$2)*(1-$C81))* (($D81*$D$2)+(1-$D$2)*(1-$D81))* (($E81*$E$2)+(1-$E$2)*(1-$E81))*
(($F81*$F$2)+(1-$F$2)*(1-$F81))* (($G81*$G$2)+(1-$G$2)*(1-$G81)))*$M81</f>
        <v>0</v>
      </c>
      <c r="I81" s="6" t="n">
        <f aca="false">PRODUCT(IF(B81=1,0.6,1-0.6), IF(A81=1,0.6,1-0.6),
        IF(C81=1,0.6,1-0.6),
        IF(D81=1,0.6,1-0.6),
        IF(E81=1,0.6,1-0.6),
        IF(F81=1,0.6,1-0.6),
        IF(G81=1,0.6,1-0.6)) * M81</f>
        <v>0</v>
      </c>
      <c r="J81" s="6" t="n">
        <f aca="false">PRODUCT(IF(B81=1,0.7,1-0.7), IF(A81=1,0.7,1-0.7),
          IF(C81=1,0.7,1-0.7),
          IF(D81=1,0.7,1-0.7),
          IF(E81=1,0.7,1-0.7),
          IF(F81=1,0.7,1-0.7),
          IF(G81=1,0.7,1-0.7)) * M81</f>
        <v>0</v>
      </c>
      <c r="K81" s="6" t="n">
        <f aca="false">PRODUCT(IF(B81=1,0.8,1-0.8),IF(A81=1,0.8,1-0.8),
          IF(C81=1,0.8,1-0.8),
          IF(D81=1,0.8,1-0.8),
          IF(E81=1,0.8,1-0.8),
          IF(F81=1,0.8,1-0.8),
          IF(G81=1,0.8,1-0.8)) * M81</f>
        <v>0</v>
      </c>
      <c r="L81" s="6" t="n">
        <f aca="false">PRODUCT(IF(B81=1,0.9,1-0.9), IF(A81=1,0.9,1-0.9),
          IF(C81=1,0.9,1-0.9),
          IF(D81=1,0.9,1-0.9),
          IF(E81=1,0.9,1-0.9),
          IF(F81=1,0.9,1-0.9),
          IF(G81=1,0.9,1-0.9)) * M81</f>
        <v>0</v>
      </c>
      <c r="M81" s="2" t="n">
        <f aca="false">IF(C81=1,1,IF(AND(B81=1,A81=1,G81=1,D81=1),1,IF(AND(B81=1,A81=1,F81=1,D81=1,E81=1)
,1,0)))</f>
        <v>0</v>
      </c>
    </row>
    <row r="82" customFormat="false" ht="13.8" hidden="false" customHeight="false" outlineLevel="0" collapsed="false">
      <c r="A82" s="2" t="n">
        <v>1</v>
      </c>
      <c r="B82" s="2" t="n">
        <v>0</v>
      </c>
      <c r="C82" s="2" t="n">
        <v>0</v>
      </c>
      <c r="D82" s="2" t="n">
        <v>1</v>
      </c>
      <c r="E82" s="2" t="n">
        <v>1</v>
      </c>
      <c r="F82" s="2" t="n">
        <v>1</v>
      </c>
      <c r="G82" s="2" t="n">
        <v>0</v>
      </c>
      <c r="H82" s="1" t="n">
        <f aca="false"> ((($A82*$A$2)+(1-$A$2)*(1-$A82))* (($B82*$B$2)+(1-$B$2)*(1-$B82)) *(($C82*$C$2)+(1-
$C$2)*(1-$C82))* (($D82*$D$2)+(1-$D$2)*(1-$D82))* (($E82*$E$2)+(1-$E$2)*(1-$E82))*
(($F82*$F$2)+(1-$F$2)*(1-$F82))* (($G82*$G$2)+(1-$G$2)*(1-$G82)))*$M82</f>
        <v>0</v>
      </c>
      <c r="I82" s="6" t="n">
        <f aca="false">PRODUCT(IF(B82=1,0.6,1-0.6), IF(A82=1,0.6,1-0.6),
        IF(C82=1,0.6,1-0.6),
        IF(D82=1,0.6,1-0.6),
        IF(E82=1,0.6,1-0.6),
        IF(F82=1,0.6,1-0.6),
        IF(G82=1,0.6,1-0.6)) * M82</f>
        <v>0</v>
      </c>
      <c r="J82" s="6" t="n">
        <f aca="false">PRODUCT(IF(B82=1,0.7,1-0.7), IF(A82=1,0.7,1-0.7),
          IF(C82=1,0.7,1-0.7),
          IF(D82=1,0.7,1-0.7),
          IF(E82=1,0.7,1-0.7),
          IF(F82=1,0.7,1-0.7),
          IF(G82=1,0.7,1-0.7)) * M82</f>
        <v>0</v>
      </c>
      <c r="K82" s="6" t="n">
        <f aca="false">PRODUCT(IF(B82=1,0.8,1-0.8),IF(A82=1,0.8,1-0.8),
          IF(C82=1,0.8,1-0.8),
          IF(D82=1,0.8,1-0.8),
          IF(E82=1,0.8,1-0.8),
          IF(F82=1,0.8,1-0.8),
          IF(G82=1,0.8,1-0.8)) * M82</f>
        <v>0</v>
      </c>
      <c r="L82" s="6" t="n">
        <f aca="false">PRODUCT(IF(B82=1,0.9,1-0.9), IF(A82=1,0.9,1-0.9),
          IF(C82=1,0.9,1-0.9),
          IF(D82=1,0.9,1-0.9),
          IF(E82=1,0.9,1-0.9),
          IF(F82=1,0.9,1-0.9),
          IF(G82=1,0.9,1-0.9)) * M82</f>
        <v>0</v>
      </c>
      <c r="M82" s="2" t="n">
        <f aca="false">IF(C82=1,1,IF(AND(B82=1,A82=1,G82=1,D82=1),1,IF(AND(B82=1,A82=1,F82=1,D82=1,E82=1)
,1,0)))</f>
        <v>0</v>
      </c>
    </row>
    <row r="83" customFormat="false" ht="13.8" hidden="false" customHeight="false" outlineLevel="0" collapsed="false">
      <c r="A83" s="2" t="n">
        <v>1</v>
      </c>
      <c r="B83" s="2" t="n">
        <v>0</v>
      </c>
      <c r="C83" s="2" t="n">
        <v>0</v>
      </c>
      <c r="D83" s="2" t="n">
        <v>1</v>
      </c>
      <c r="E83" s="2" t="n">
        <v>1</v>
      </c>
      <c r="F83" s="2" t="n">
        <v>1</v>
      </c>
      <c r="G83" s="2" t="n">
        <v>1</v>
      </c>
      <c r="H83" s="1" t="n">
        <f aca="false"> ((($A83*$A$2)+(1-$A$2)*(1-$A83))* (($B83*$B$2)+(1-$B$2)*(1-$B83)) *(($C83*$C$2)+(1-
$C$2)*(1-$C83))* (($D83*$D$2)+(1-$D$2)*(1-$D83))* (($E83*$E$2)+(1-$E$2)*(1-$E83))*
(($F83*$F$2)+(1-$F$2)*(1-$F83))* (($G83*$G$2)+(1-$G$2)*(1-$G83)))*$M83</f>
        <v>0</v>
      </c>
      <c r="I83" s="6" t="n">
        <f aca="false">PRODUCT(IF(B83=1,0.6,1-0.6), IF(A83=1,0.6,1-0.6),
        IF(C83=1,0.6,1-0.6),
        IF(D83=1,0.6,1-0.6),
        IF(E83=1,0.6,1-0.6),
        IF(F83=1,0.6,1-0.6),
        IF(G83=1,0.6,1-0.6)) * M83</f>
        <v>0</v>
      </c>
      <c r="J83" s="6" t="n">
        <f aca="false">PRODUCT(IF(B83=1,0.7,1-0.7), IF(A83=1,0.7,1-0.7),
          IF(C83=1,0.7,1-0.7),
          IF(D83=1,0.7,1-0.7),
          IF(E83=1,0.7,1-0.7),
          IF(F83=1,0.7,1-0.7),
          IF(G83=1,0.7,1-0.7)) * M83</f>
        <v>0</v>
      </c>
      <c r="K83" s="6" t="n">
        <f aca="false">PRODUCT(IF(B83=1,0.8,1-0.8),IF(A83=1,0.8,1-0.8),
          IF(C83=1,0.8,1-0.8),
          IF(D83=1,0.8,1-0.8),
          IF(E83=1,0.8,1-0.8),
          IF(F83=1,0.8,1-0.8),
          IF(G83=1,0.8,1-0.8)) * M83</f>
        <v>0</v>
      </c>
      <c r="L83" s="6" t="n">
        <f aca="false">PRODUCT(IF(B83=1,0.9,1-0.9), IF(A83=1,0.9,1-0.9),
          IF(C83=1,0.9,1-0.9),
          IF(D83=1,0.9,1-0.9),
          IF(E83=1,0.9,1-0.9),
          IF(F83=1,0.9,1-0.9),
          IF(G83=1,0.9,1-0.9)) * M83</f>
        <v>0</v>
      </c>
      <c r="M83" s="2" t="n">
        <f aca="false">IF(C83=1,1,IF(AND(B83=1,A83=1,G83=1,D83=1),1,IF(AND(B83=1,A83=1,F83=1,D83=1,E83=1)
,1,0)))</f>
        <v>0</v>
      </c>
    </row>
    <row r="84" customFormat="false" ht="13.8" hidden="false" customHeight="false" outlineLevel="0" collapsed="false">
      <c r="A84" s="2" t="n">
        <v>1</v>
      </c>
      <c r="B84" s="2" t="n">
        <v>0</v>
      </c>
      <c r="C84" s="2" t="n">
        <v>1</v>
      </c>
      <c r="D84" s="2" t="n">
        <v>0</v>
      </c>
      <c r="E84" s="2" t="n">
        <v>0</v>
      </c>
      <c r="F84" s="2" t="n">
        <v>0</v>
      </c>
      <c r="G84" s="2" t="n">
        <v>0</v>
      </c>
      <c r="H84" s="1" t="n">
        <f aca="false"> ((($A84*$A$2)+(1-$A$2)*(1-$A84))* (($B84*$B$2)+(1-$B$2)*(1-$B84)) *(($C84*$C$2)+(1-
$C$2)*(1-$C84))* (($D84*$D$2)+(1-$D$2)*(1-$D84))* (($E84*$E$2)+(1-$E$2)*(1-$E84))*
(($F84*$F$2)+(1-$F$2)*(1-$F84))* (($G84*$G$2)+(1-$G$2)*(1-$G84)))*$M84</f>
        <v>0</v>
      </c>
      <c r="I84" s="6" t="n">
        <f aca="false">PRODUCT(IF(B84=1,0.6,1-0.6), IF(A84=1,0.6,1-0.6),
        IF(C84=1,0.6,1-0.6),
        IF(D84=1,0.6,1-0.6),
        IF(E84=1,0.6,1-0.6),
        IF(F84=1,0.6,1-0.6),
        IF(G84=1,0.6,1-0.6)) * M84</f>
        <v>0.0036864</v>
      </c>
      <c r="J84" s="6" t="n">
        <f aca="false">PRODUCT(IF(B84=1,0.7,1-0.7), IF(A84=1,0.7,1-0.7),
          IF(C84=1,0.7,1-0.7),
          IF(D84=1,0.7,1-0.7),
          IF(E84=1,0.7,1-0.7),
          IF(F84=1,0.7,1-0.7),
          IF(G84=1,0.7,1-0.7)) * M84</f>
        <v>0.0011907</v>
      </c>
      <c r="K84" s="6" t="n">
        <f aca="false">PRODUCT(IF(B84=1,0.8,1-0.8),IF(A84=1,0.8,1-0.8),
          IF(C84=1,0.8,1-0.8),
          IF(D84=1,0.8,1-0.8),
          IF(E84=1,0.8,1-0.8),
          IF(F84=1,0.8,1-0.8),
          IF(G84=1,0.8,1-0.8)) * M84</f>
        <v>0.0002048</v>
      </c>
      <c r="L84" s="6" t="n">
        <f aca="false">PRODUCT(IF(B84=1,0.9,1-0.9), IF(A84=1,0.9,1-0.9),
          IF(C84=1,0.9,1-0.9),
          IF(D84=1,0.9,1-0.9),
          IF(E84=1,0.9,1-0.9),
          IF(F84=1,0.9,1-0.9),
          IF(G84=1,0.9,1-0.9)) * M84</f>
        <v>8.09999999999999E-006</v>
      </c>
      <c r="M84" s="2" t="n">
        <f aca="false">IF(C84=1,1,IF(AND(B84=1,A84=1,G84=1,D84=1),1,IF(AND(B84=1,A84=1,F84=1,D84=1,E84=1)
,1,0)))</f>
        <v>1</v>
      </c>
    </row>
    <row r="85" customFormat="false" ht="13.8" hidden="false" customHeight="false" outlineLevel="0" collapsed="false">
      <c r="A85" s="2" t="n">
        <v>1</v>
      </c>
      <c r="B85" s="2" t="n">
        <v>0</v>
      </c>
      <c r="C85" s="2" t="n">
        <v>1</v>
      </c>
      <c r="D85" s="2" t="n">
        <v>0</v>
      </c>
      <c r="E85" s="2" t="n">
        <v>0</v>
      </c>
      <c r="F85" s="2" t="n">
        <v>0</v>
      </c>
      <c r="G85" s="2" t="n">
        <v>1</v>
      </c>
      <c r="H85" s="1" t="n">
        <f aca="false"> ((($A85*$A$2)+(1-$A$2)*(1-$A85))* (($B85*$B$2)+(1-$B$2)*(1-$B85)) *(($C85*$C$2)+(1-
$C$2)*(1-$C85))* (($D85*$D$2)+(1-$D$2)*(1-$D85))* (($E85*$E$2)+(1-$E$2)*(1-$E85))*
(($F85*$F$2)+(1-$F$2)*(1-$F85))* (($G85*$G$2)+(1-$G$2)*(1-$G85)))*$M85</f>
        <v>0.003969</v>
      </c>
      <c r="I85" s="6" t="n">
        <f aca="false">PRODUCT(IF(B85=1,0.6,1-0.6), IF(A85=1,0.6,1-0.6),
        IF(C85=1,0.6,1-0.6),
        IF(D85=1,0.6,1-0.6),
        IF(E85=1,0.6,1-0.6),
        IF(F85=1,0.6,1-0.6),
        IF(G85=1,0.6,1-0.6)) * M85</f>
        <v>0.0055296</v>
      </c>
      <c r="J85" s="6" t="n">
        <f aca="false">PRODUCT(IF(B85=1,0.7,1-0.7), IF(A85=1,0.7,1-0.7),
          IF(C85=1,0.7,1-0.7),
          IF(D85=1,0.7,1-0.7),
          IF(E85=1,0.7,1-0.7),
          IF(F85=1,0.7,1-0.7),
          IF(G85=1,0.7,1-0.7)) * M85</f>
        <v>0.0027783</v>
      </c>
      <c r="K85" s="6" t="n">
        <f aca="false">PRODUCT(IF(B85=1,0.8,1-0.8),IF(A85=1,0.8,1-0.8),
          IF(C85=1,0.8,1-0.8),
          IF(D85=1,0.8,1-0.8),
          IF(E85=1,0.8,1-0.8),
          IF(F85=1,0.8,1-0.8),
          IF(G85=1,0.8,1-0.8)) * M85</f>
        <v>0.000819199999999999</v>
      </c>
      <c r="L85" s="6" t="n">
        <f aca="false">PRODUCT(IF(B85=1,0.9,1-0.9), IF(A85=1,0.9,1-0.9),
          IF(C85=1,0.9,1-0.9),
          IF(D85=1,0.9,1-0.9),
          IF(E85=1,0.9,1-0.9),
          IF(F85=1,0.9,1-0.9),
          IF(G85=1,0.9,1-0.9)) * M85</f>
        <v>7.28999999999999E-005</v>
      </c>
      <c r="M85" s="2" t="n">
        <f aca="false">IF(C85=1,1,IF(AND(B85=1,A85=1,G85=1,D85=1),1,IF(AND(B85=1,A85=1,F85=1,D85=1,E85=1)
,1,0)))</f>
        <v>1</v>
      </c>
    </row>
    <row r="86" customFormat="false" ht="13.8" hidden="false" customHeight="false" outlineLevel="0" collapsed="false">
      <c r="A86" s="2" t="n">
        <v>1</v>
      </c>
      <c r="B86" s="2" t="n">
        <v>0</v>
      </c>
      <c r="C86" s="2" t="n">
        <v>1</v>
      </c>
      <c r="D86" s="2" t="n">
        <v>0</v>
      </c>
      <c r="E86" s="2" t="n">
        <v>0</v>
      </c>
      <c r="F86" s="2" t="n">
        <v>1</v>
      </c>
      <c r="G86" s="2" t="n">
        <v>0</v>
      </c>
      <c r="H86" s="1" t="n">
        <f aca="false"> ((($A86*$A$2)+(1-$A$2)*(1-$A86))* (($B86*$B$2)+(1-$B$2)*(1-$B86)) *(($C86*$C$2)+(1-
$C$2)*(1-$C86))* (($D86*$D$2)+(1-$D$2)*(1-$D86))* (($E86*$E$2)+(1-$E$2)*(1-$E86))*
(($F86*$F$2)+(1-$F$2)*(1-$F86))* (($G86*$G$2)+(1-$G$2)*(1-$G86)))*$M86</f>
        <v>0</v>
      </c>
      <c r="I86" s="6" t="n">
        <f aca="false">PRODUCT(IF(B86=1,0.6,1-0.6), IF(A86=1,0.6,1-0.6),
        IF(C86=1,0.6,1-0.6),
        IF(D86=1,0.6,1-0.6),
        IF(E86=1,0.6,1-0.6),
        IF(F86=1,0.6,1-0.6),
        IF(G86=1,0.6,1-0.6)) * M86</f>
        <v>0.0055296</v>
      </c>
      <c r="J86" s="6" t="n">
        <f aca="false">PRODUCT(IF(B86=1,0.7,1-0.7), IF(A86=1,0.7,1-0.7),
          IF(C86=1,0.7,1-0.7),
          IF(D86=1,0.7,1-0.7),
          IF(E86=1,0.7,1-0.7),
          IF(F86=1,0.7,1-0.7),
          IF(G86=1,0.7,1-0.7)) * M86</f>
        <v>0.0027783</v>
      </c>
      <c r="K86" s="6" t="n">
        <f aca="false">PRODUCT(IF(B86=1,0.8,1-0.8),IF(A86=1,0.8,1-0.8),
          IF(C86=1,0.8,1-0.8),
          IF(D86=1,0.8,1-0.8),
          IF(E86=1,0.8,1-0.8),
          IF(F86=1,0.8,1-0.8),
          IF(G86=1,0.8,1-0.8)) * M86</f>
        <v>0.000819199999999999</v>
      </c>
      <c r="L86" s="6" t="n">
        <f aca="false">PRODUCT(IF(B86=1,0.9,1-0.9), IF(A86=1,0.9,1-0.9),
          IF(C86=1,0.9,1-0.9),
          IF(D86=1,0.9,1-0.9),
          IF(E86=1,0.9,1-0.9),
          IF(F86=1,0.9,1-0.9),
          IF(G86=1,0.9,1-0.9)) * M86</f>
        <v>7.28999999999999E-005</v>
      </c>
      <c r="M86" s="2" t="n">
        <f aca="false">IF(C86=1,1,IF(AND(B86=1,A86=1,G86=1,D86=1),1,IF(AND(B86=1,A86=1,F86=1,D86=1,E86=1)
,1,0)))</f>
        <v>1</v>
      </c>
    </row>
    <row r="87" customFormat="false" ht="13.8" hidden="false" customHeight="false" outlineLevel="0" collapsed="false">
      <c r="A87" s="2" t="n">
        <v>1</v>
      </c>
      <c r="B87" s="2" t="n">
        <v>0</v>
      </c>
      <c r="C87" s="2" t="n">
        <v>1</v>
      </c>
      <c r="D87" s="2" t="n">
        <v>0</v>
      </c>
      <c r="E87" s="2" t="n">
        <v>0</v>
      </c>
      <c r="F87" s="2" t="n">
        <v>1</v>
      </c>
      <c r="G87" s="2" t="n">
        <v>1</v>
      </c>
      <c r="H87" s="1" t="n">
        <f aca="false"> ((($A87*$A$2)+(1-$A$2)*(1-$A87))* (($B87*$B$2)+(1-$B$2)*(1-$B87)) *(($C87*$C$2)+(1-
$C$2)*(1-$C87))* (($D87*$D$2)+(1-$D$2)*(1-$D87))* (($E87*$E$2)+(1-$E$2)*(1-$E87))*
(($F87*$F$2)+(1-$F$2)*(1-$F87))* (($G87*$G$2)+(1-$G$2)*(1-$G87)))*$M87</f>
        <v>0.009261</v>
      </c>
      <c r="I87" s="6" t="n">
        <f aca="false">PRODUCT(IF(B87=1,0.6,1-0.6), IF(A87=1,0.6,1-0.6),
        IF(C87=1,0.6,1-0.6),
        IF(D87=1,0.6,1-0.6),
        IF(E87=1,0.6,1-0.6),
        IF(F87=1,0.6,1-0.6),
        IF(G87=1,0.6,1-0.6)) * M87</f>
        <v>0.0082944</v>
      </c>
      <c r="J87" s="6" t="n">
        <f aca="false">PRODUCT(IF(B87=1,0.7,1-0.7), IF(A87=1,0.7,1-0.7),
          IF(C87=1,0.7,1-0.7),
          IF(D87=1,0.7,1-0.7),
          IF(E87=1,0.7,1-0.7),
          IF(F87=1,0.7,1-0.7),
          IF(G87=1,0.7,1-0.7)) * M87</f>
        <v>0.0064827</v>
      </c>
      <c r="K87" s="6" t="n">
        <f aca="false">PRODUCT(IF(B87=1,0.8,1-0.8),IF(A87=1,0.8,1-0.8),
          IF(C87=1,0.8,1-0.8),
          IF(D87=1,0.8,1-0.8),
          IF(E87=1,0.8,1-0.8),
          IF(F87=1,0.8,1-0.8),
          IF(G87=1,0.8,1-0.8)) * M87</f>
        <v>0.0032768</v>
      </c>
      <c r="L87" s="6" t="n">
        <f aca="false">PRODUCT(IF(B87=1,0.9,1-0.9), IF(A87=1,0.9,1-0.9),
          IF(C87=1,0.9,1-0.9),
          IF(D87=1,0.9,1-0.9),
          IF(E87=1,0.9,1-0.9),
          IF(F87=1,0.9,1-0.9),
          IF(G87=1,0.9,1-0.9)) * M87</f>
        <v>0.0006561</v>
      </c>
      <c r="M87" s="2" t="n">
        <f aca="false">IF(C87=1,1,IF(AND(B87=1,A87=1,G87=1,D87=1),1,IF(AND(B87=1,A87=1,F87=1,D87=1,E87=1)
,1,0)))</f>
        <v>1</v>
      </c>
    </row>
    <row r="88" customFormat="false" ht="13.8" hidden="false" customHeight="false" outlineLevel="0" collapsed="false">
      <c r="A88" s="2" t="n">
        <v>1</v>
      </c>
      <c r="B88" s="2" t="n">
        <v>0</v>
      </c>
      <c r="C88" s="2" t="n">
        <v>1</v>
      </c>
      <c r="D88" s="2" t="n">
        <v>0</v>
      </c>
      <c r="E88" s="2" t="n">
        <v>1</v>
      </c>
      <c r="F88" s="2" t="n">
        <v>0</v>
      </c>
      <c r="G88" s="2" t="n">
        <v>0</v>
      </c>
      <c r="H88" s="1" t="n">
        <f aca="false"> ((($A88*$A$2)+(1-$A$2)*(1-$A88))* (($B88*$B$2)+(1-$B$2)*(1-$B88)) *(($C88*$C$2)+(1-
$C$2)*(1-$C88))* (($D88*$D$2)+(1-$D$2)*(1-$D88))* (($E88*$E$2)+(1-$E$2)*(1-$E88))*
(($F88*$F$2)+(1-$F$2)*(1-$F88))* (($G88*$G$2)+(1-$G$2)*(1-$G88)))*$M88</f>
        <v>0</v>
      </c>
      <c r="I88" s="6" t="n">
        <f aca="false">PRODUCT(IF(B88=1,0.6,1-0.6), IF(A88=1,0.6,1-0.6),
        IF(C88=1,0.6,1-0.6),
        IF(D88=1,0.6,1-0.6),
        IF(E88=1,0.6,1-0.6),
        IF(F88=1,0.6,1-0.6),
        IF(G88=1,0.6,1-0.6)) * M88</f>
        <v>0.0055296</v>
      </c>
      <c r="J88" s="6" t="n">
        <f aca="false">PRODUCT(IF(B88=1,0.7,1-0.7), IF(A88=1,0.7,1-0.7),
          IF(C88=1,0.7,1-0.7),
          IF(D88=1,0.7,1-0.7),
          IF(E88=1,0.7,1-0.7),
          IF(F88=1,0.7,1-0.7),
          IF(G88=1,0.7,1-0.7)) * M88</f>
        <v>0.0027783</v>
      </c>
      <c r="K88" s="6" t="n">
        <f aca="false">PRODUCT(IF(B88=1,0.8,1-0.8),IF(A88=1,0.8,1-0.8),
          IF(C88=1,0.8,1-0.8),
          IF(D88=1,0.8,1-0.8),
          IF(E88=1,0.8,1-0.8),
          IF(F88=1,0.8,1-0.8),
          IF(G88=1,0.8,1-0.8)) * M88</f>
        <v>0.000819199999999999</v>
      </c>
      <c r="L88" s="6" t="n">
        <f aca="false">PRODUCT(IF(B88=1,0.9,1-0.9), IF(A88=1,0.9,1-0.9),
          IF(C88=1,0.9,1-0.9),
          IF(D88=1,0.9,1-0.9),
          IF(E88=1,0.9,1-0.9),
          IF(F88=1,0.9,1-0.9),
          IF(G88=1,0.9,1-0.9)) * M88</f>
        <v>7.28999999999999E-005</v>
      </c>
      <c r="M88" s="2" t="n">
        <f aca="false">IF(C88=1,1,IF(AND(B88=1,A88=1,G88=1,D88=1),1,IF(AND(B88=1,A88=1,F88=1,D88=1,E88=1)
,1,0)))</f>
        <v>1</v>
      </c>
    </row>
    <row r="89" customFormat="false" ht="13.8" hidden="false" customHeight="false" outlineLevel="0" collapsed="false">
      <c r="A89" s="2" t="n">
        <v>1</v>
      </c>
      <c r="B89" s="2" t="n">
        <v>0</v>
      </c>
      <c r="C89" s="2" t="n">
        <v>1</v>
      </c>
      <c r="D89" s="2" t="n">
        <v>0</v>
      </c>
      <c r="E89" s="2" t="n">
        <v>1</v>
      </c>
      <c r="F89" s="2" t="n">
        <v>0</v>
      </c>
      <c r="G89" s="2" t="n">
        <v>1</v>
      </c>
      <c r="H89" s="1" t="n">
        <f aca="false"> ((($A89*$A$2)+(1-$A$2)*(1-$A89))* (($B89*$B$2)+(1-$B$2)*(1-$B89)) *(($C89*$C$2)+(1-
$C$2)*(1-$C89))* (($D89*$D$2)+(1-$D$2)*(1-$D89))* (($E89*$E$2)+(1-$E$2)*(1-$E89))*
(($F89*$F$2)+(1-$F$2)*(1-$F89))* (($G89*$G$2)+(1-$G$2)*(1-$G89)))*$M89</f>
        <v>0.009261</v>
      </c>
      <c r="I89" s="6" t="n">
        <f aca="false">PRODUCT(IF(B89=1,0.6,1-0.6), IF(A89=1,0.6,1-0.6),
        IF(C89=1,0.6,1-0.6),
        IF(D89=1,0.6,1-0.6),
        IF(E89=1,0.6,1-0.6),
        IF(F89=1,0.6,1-0.6),
        IF(G89=1,0.6,1-0.6)) * M89</f>
        <v>0.0082944</v>
      </c>
      <c r="J89" s="6" t="n">
        <f aca="false">PRODUCT(IF(B89=1,0.7,1-0.7), IF(A89=1,0.7,1-0.7),
          IF(C89=1,0.7,1-0.7),
          IF(D89=1,0.7,1-0.7),
          IF(E89=1,0.7,1-0.7),
          IF(F89=1,0.7,1-0.7),
          IF(G89=1,0.7,1-0.7)) * M89</f>
        <v>0.0064827</v>
      </c>
      <c r="K89" s="6" t="n">
        <f aca="false">PRODUCT(IF(B89=1,0.8,1-0.8),IF(A89=1,0.8,1-0.8),
          IF(C89=1,0.8,1-0.8),
          IF(D89=1,0.8,1-0.8),
          IF(E89=1,0.8,1-0.8),
          IF(F89=1,0.8,1-0.8),
          IF(G89=1,0.8,1-0.8)) * M89</f>
        <v>0.0032768</v>
      </c>
      <c r="L89" s="6" t="n">
        <f aca="false">PRODUCT(IF(B89=1,0.9,1-0.9), IF(A89=1,0.9,1-0.9),
          IF(C89=1,0.9,1-0.9),
          IF(D89=1,0.9,1-0.9),
          IF(E89=1,0.9,1-0.9),
          IF(F89=1,0.9,1-0.9),
          IF(G89=1,0.9,1-0.9)) * M89</f>
        <v>0.0006561</v>
      </c>
      <c r="M89" s="2" t="n">
        <f aca="false">IF(C89=1,1,IF(AND(B89=1,A89=1,G89=1,D89=1),1,IF(AND(B89=1,A89=1,F89=1,D89=1,E89=1)
,1,0)))</f>
        <v>1</v>
      </c>
    </row>
    <row r="90" customFormat="false" ht="13.8" hidden="false" customHeight="false" outlineLevel="0" collapsed="false">
      <c r="A90" s="2" t="n">
        <v>1</v>
      </c>
      <c r="B90" s="2" t="n">
        <v>0</v>
      </c>
      <c r="C90" s="2" t="n">
        <v>1</v>
      </c>
      <c r="D90" s="2" t="n">
        <v>0</v>
      </c>
      <c r="E90" s="2" t="n">
        <v>1</v>
      </c>
      <c r="F90" s="2" t="n">
        <v>1</v>
      </c>
      <c r="G90" s="2" t="n">
        <v>0</v>
      </c>
      <c r="H90" s="1" t="n">
        <f aca="false"> ((($A90*$A$2)+(1-$A$2)*(1-$A90))* (($B90*$B$2)+(1-$B$2)*(1-$B90)) *(($C90*$C$2)+(1-
$C$2)*(1-$C90))* (($D90*$D$2)+(1-$D$2)*(1-$D90))* (($E90*$E$2)+(1-$E$2)*(1-$E90))*
(($F90*$F$2)+(1-$F$2)*(1-$F90))* (($G90*$G$2)+(1-$G$2)*(1-$G90)))*$M90</f>
        <v>0</v>
      </c>
      <c r="I90" s="6" t="n">
        <f aca="false">PRODUCT(IF(B90=1,0.6,1-0.6), IF(A90=1,0.6,1-0.6),
        IF(C90=1,0.6,1-0.6),
        IF(D90=1,0.6,1-0.6),
        IF(E90=1,0.6,1-0.6),
        IF(F90=1,0.6,1-0.6),
        IF(G90=1,0.6,1-0.6)) * M90</f>
        <v>0.0082944</v>
      </c>
      <c r="J90" s="6" t="n">
        <f aca="false">PRODUCT(IF(B90=1,0.7,1-0.7), IF(A90=1,0.7,1-0.7),
          IF(C90=1,0.7,1-0.7),
          IF(D90=1,0.7,1-0.7),
          IF(E90=1,0.7,1-0.7),
          IF(F90=1,0.7,1-0.7),
          IF(G90=1,0.7,1-0.7)) * M90</f>
        <v>0.0064827</v>
      </c>
      <c r="K90" s="6" t="n">
        <f aca="false">PRODUCT(IF(B90=1,0.8,1-0.8),IF(A90=1,0.8,1-0.8),
          IF(C90=1,0.8,1-0.8),
          IF(D90=1,0.8,1-0.8),
          IF(E90=1,0.8,1-0.8),
          IF(F90=1,0.8,1-0.8),
          IF(G90=1,0.8,1-0.8)) * M90</f>
        <v>0.0032768</v>
      </c>
      <c r="L90" s="6" t="n">
        <f aca="false">PRODUCT(IF(B90=1,0.9,1-0.9), IF(A90=1,0.9,1-0.9),
          IF(C90=1,0.9,1-0.9),
          IF(D90=1,0.9,1-0.9),
          IF(E90=1,0.9,1-0.9),
          IF(F90=1,0.9,1-0.9),
          IF(G90=1,0.9,1-0.9)) * M90</f>
        <v>0.0006561</v>
      </c>
      <c r="M90" s="2" t="n">
        <f aca="false">IF(C90=1,1,IF(AND(B90=1,A90=1,G90=1,D90=1),1,IF(AND(B90=1,A90=1,F90=1,D90=1,E90=1)
,1,0)))</f>
        <v>1</v>
      </c>
    </row>
    <row r="91" customFormat="false" ht="13.8" hidden="false" customHeight="false" outlineLevel="0" collapsed="false">
      <c r="A91" s="2" t="n">
        <v>1</v>
      </c>
      <c r="B91" s="2" t="n">
        <v>0</v>
      </c>
      <c r="C91" s="2" t="n">
        <v>1</v>
      </c>
      <c r="D91" s="2" t="n">
        <v>0</v>
      </c>
      <c r="E91" s="2" t="n">
        <v>1</v>
      </c>
      <c r="F91" s="2" t="n">
        <v>1</v>
      </c>
      <c r="G91" s="2" t="n">
        <v>1</v>
      </c>
      <c r="H91" s="1" t="n">
        <f aca="false"> ((($A91*$A$2)+(1-$A$2)*(1-$A91))* (($B91*$B$2)+(1-$B$2)*(1-$B91)) *(($C91*$C$2)+(1-
$C$2)*(1-$C91))* (($D91*$D$2)+(1-$D$2)*(1-$D91))* (($E91*$E$2)+(1-$E$2)*(1-$E91))*
(($F91*$F$2)+(1-$F$2)*(1-$F91))* (($G91*$G$2)+(1-$G$2)*(1-$G91)))*$M91</f>
        <v>0.021609</v>
      </c>
      <c r="I91" s="6" t="n">
        <f aca="false">PRODUCT(IF(B91=1,0.6,1-0.6), IF(A91=1,0.6,1-0.6),
        IF(C91=1,0.6,1-0.6),
        IF(D91=1,0.6,1-0.6),
        IF(E91=1,0.6,1-0.6),
        IF(F91=1,0.6,1-0.6),
        IF(G91=1,0.6,1-0.6)) * M91</f>
        <v>0.0124416</v>
      </c>
      <c r="J91" s="6" t="n">
        <f aca="false">PRODUCT(IF(B91=1,0.7,1-0.7), IF(A91=1,0.7,1-0.7),
          IF(C91=1,0.7,1-0.7),
          IF(D91=1,0.7,1-0.7),
          IF(E91=1,0.7,1-0.7),
          IF(F91=1,0.7,1-0.7),
          IF(G91=1,0.7,1-0.7)) * M91</f>
        <v>0.0151263</v>
      </c>
      <c r="K91" s="6" t="n">
        <f aca="false">PRODUCT(IF(B91=1,0.8,1-0.8),IF(A91=1,0.8,1-0.8),
          IF(C91=1,0.8,1-0.8),
          IF(D91=1,0.8,1-0.8),
          IF(E91=1,0.8,1-0.8),
          IF(F91=1,0.8,1-0.8),
          IF(G91=1,0.8,1-0.8)) * M91</f>
        <v>0.0131072</v>
      </c>
      <c r="L91" s="6" t="n">
        <f aca="false">PRODUCT(IF(B91=1,0.9,1-0.9), IF(A91=1,0.9,1-0.9),
          IF(C91=1,0.9,1-0.9),
          IF(D91=1,0.9,1-0.9),
          IF(E91=1,0.9,1-0.9),
          IF(F91=1,0.9,1-0.9),
          IF(G91=1,0.9,1-0.9)) * M91</f>
        <v>0.0059049</v>
      </c>
      <c r="M91" s="2" t="n">
        <f aca="false">IF(C91=1,1,IF(AND(B91=1,A91=1,G91=1,D91=1),1,IF(AND(B91=1,A91=1,F91=1,D91=1,E91=1)
,1,0)))</f>
        <v>1</v>
      </c>
    </row>
    <row r="92" customFormat="false" ht="13.8" hidden="false" customHeight="false" outlineLevel="0" collapsed="false">
      <c r="A92" s="2" t="n">
        <v>1</v>
      </c>
      <c r="B92" s="2" t="n">
        <v>0</v>
      </c>
      <c r="C92" s="2" t="n">
        <v>1</v>
      </c>
      <c r="D92" s="2" t="n">
        <v>1</v>
      </c>
      <c r="E92" s="2" t="n">
        <v>0</v>
      </c>
      <c r="F92" s="2" t="n">
        <v>0</v>
      </c>
      <c r="G92" s="2" t="n">
        <v>0</v>
      </c>
      <c r="H92" s="1" t="n">
        <f aca="false"> ((($A92*$A$2)+(1-$A$2)*(1-$A92))* (($B92*$B$2)+(1-$B$2)*(1-$B92)) *(($C92*$C$2)+(1-
$C$2)*(1-$C92))* (($D92*$D$2)+(1-$D$2)*(1-$D92))* (($E92*$E$2)+(1-$E$2)*(1-$E92))*
(($F92*$F$2)+(1-$F$2)*(1-$F92))* (($G92*$G$2)+(1-$G$2)*(1-$G92)))*$M92</f>
        <v>0</v>
      </c>
      <c r="I92" s="6" t="n">
        <f aca="false">PRODUCT(IF(B92=1,0.6,1-0.6), IF(A92=1,0.6,1-0.6),
        IF(C92=1,0.6,1-0.6),
        IF(D92=1,0.6,1-0.6),
        IF(E92=1,0.6,1-0.6),
        IF(F92=1,0.6,1-0.6),
        IF(G92=1,0.6,1-0.6)) * M92</f>
        <v>0.0055296</v>
      </c>
      <c r="J92" s="6" t="n">
        <f aca="false">PRODUCT(IF(B92=1,0.7,1-0.7), IF(A92=1,0.7,1-0.7),
          IF(C92=1,0.7,1-0.7),
          IF(D92=1,0.7,1-0.7),
          IF(E92=1,0.7,1-0.7),
          IF(F92=1,0.7,1-0.7),
          IF(G92=1,0.7,1-0.7)) * M92</f>
        <v>0.0027783</v>
      </c>
      <c r="K92" s="6" t="n">
        <f aca="false">PRODUCT(IF(B92=1,0.8,1-0.8),IF(A92=1,0.8,1-0.8),
          IF(C92=1,0.8,1-0.8),
          IF(D92=1,0.8,1-0.8),
          IF(E92=1,0.8,1-0.8),
          IF(F92=1,0.8,1-0.8),
          IF(G92=1,0.8,1-0.8)) * M92</f>
        <v>0.000819199999999999</v>
      </c>
      <c r="L92" s="6" t="n">
        <f aca="false">PRODUCT(IF(B92=1,0.9,1-0.9), IF(A92=1,0.9,1-0.9),
          IF(C92=1,0.9,1-0.9),
          IF(D92=1,0.9,1-0.9),
          IF(E92=1,0.9,1-0.9),
          IF(F92=1,0.9,1-0.9),
          IF(G92=1,0.9,1-0.9)) * M92</f>
        <v>7.28999999999999E-005</v>
      </c>
      <c r="M92" s="2" t="n">
        <f aca="false">IF(C92=1,1,IF(AND(B92=1,A92=1,G92=1,D92=1),1,IF(AND(B92=1,A92=1,F92=1,D92=1,E92=1)
,1,0)))</f>
        <v>1</v>
      </c>
    </row>
    <row r="93" customFormat="false" ht="13.8" hidden="false" customHeight="false" outlineLevel="0" collapsed="false">
      <c r="A93" s="2" t="n">
        <v>1</v>
      </c>
      <c r="B93" s="2" t="n">
        <v>0</v>
      </c>
      <c r="C93" s="2" t="n">
        <v>1</v>
      </c>
      <c r="D93" s="2" t="n">
        <v>1</v>
      </c>
      <c r="E93" s="2" t="n">
        <v>0</v>
      </c>
      <c r="F93" s="2" t="n">
        <v>0</v>
      </c>
      <c r="G93" s="2" t="n">
        <v>1</v>
      </c>
      <c r="H93" s="1" t="n">
        <f aca="false"> ((($A93*$A$2)+(1-$A$2)*(1-$A93))* (($B93*$B$2)+(1-$B$2)*(1-$B93)) *(($C93*$C$2)+(1-
$C$2)*(1-$C93))* (($D93*$D$2)+(1-$D$2)*(1-$D93))* (($E93*$E$2)+(1-$E$2)*(1-$E93))*
(($F93*$F$2)+(1-$F$2)*(1-$F93))* (($G93*$G$2)+(1-$G$2)*(1-$G93)))*$M93</f>
        <v>0.009261</v>
      </c>
      <c r="I93" s="6" t="n">
        <f aca="false">PRODUCT(IF(B93=1,0.6,1-0.6), IF(A93=1,0.6,1-0.6),
        IF(C93=1,0.6,1-0.6),
        IF(D93=1,0.6,1-0.6),
        IF(E93=1,0.6,1-0.6),
        IF(F93=1,0.6,1-0.6),
        IF(G93=1,0.6,1-0.6)) * M93</f>
        <v>0.0082944</v>
      </c>
      <c r="J93" s="6" t="n">
        <f aca="false">PRODUCT(IF(B93=1,0.7,1-0.7), IF(A93=1,0.7,1-0.7),
          IF(C93=1,0.7,1-0.7),
          IF(D93=1,0.7,1-0.7),
          IF(E93=1,0.7,1-0.7),
          IF(F93=1,0.7,1-0.7),
          IF(G93=1,0.7,1-0.7)) * M93</f>
        <v>0.0064827</v>
      </c>
      <c r="K93" s="6" t="n">
        <f aca="false">PRODUCT(IF(B93=1,0.8,1-0.8),IF(A93=1,0.8,1-0.8),
          IF(C93=1,0.8,1-0.8),
          IF(D93=1,0.8,1-0.8),
          IF(E93=1,0.8,1-0.8),
          IF(F93=1,0.8,1-0.8),
          IF(G93=1,0.8,1-0.8)) * M93</f>
        <v>0.0032768</v>
      </c>
      <c r="L93" s="6" t="n">
        <f aca="false">PRODUCT(IF(B93=1,0.9,1-0.9), IF(A93=1,0.9,1-0.9),
          IF(C93=1,0.9,1-0.9),
          IF(D93=1,0.9,1-0.9),
          IF(E93=1,0.9,1-0.9),
          IF(F93=1,0.9,1-0.9),
          IF(G93=1,0.9,1-0.9)) * M93</f>
        <v>0.0006561</v>
      </c>
      <c r="M93" s="2" t="n">
        <f aca="false">IF(C93=1,1,IF(AND(B93=1,A93=1,G93=1,D93=1),1,IF(AND(B93=1,A93=1,F93=1,D93=1,E93=1)
,1,0)))</f>
        <v>1</v>
      </c>
    </row>
    <row r="94" customFormat="false" ht="13.8" hidden="false" customHeight="false" outlineLevel="0" collapsed="false">
      <c r="A94" s="2" t="n">
        <v>1</v>
      </c>
      <c r="B94" s="2" t="n">
        <v>0</v>
      </c>
      <c r="C94" s="2" t="n">
        <v>1</v>
      </c>
      <c r="D94" s="2" t="n">
        <v>1</v>
      </c>
      <c r="E94" s="2" t="n">
        <v>0</v>
      </c>
      <c r="F94" s="2" t="n">
        <v>1</v>
      </c>
      <c r="G94" s="2" t="n">
        <v>0</v>
      </c>
      <c r="H94" s="1" t="n">
        <f aca="false"> ((($A94*$A$2)+(1-$A$2)*(1-$A94))* (($B94*$B$2)+(1-$B$2)*(1-$B94)) *(($C94*$C$2)+(1-
$C$2)*(1-$C94))* (($D94*$D$2)+(1-$D$2)*(1-$D94))* (($E94*$E$2)+(1-$E$2)*(1-$E94))*
(($F94*$F$2)+(1-$F$2)*(1-$F94))* (($G94*$G$2)+(1-$G$2)*(1-$G94)))*$M94</f>
        <v>0</v>
      </c>
      <c r="I94" s="6" t="n">
        <f aca="false">PRODUCT(IF(B94=1,0.6,1-0.6), IF(A94=1,0.6,1-0.6),
        IF(C94=1,0.6,1-0.6),
        IF(D94=1,0.6,1-0.6),
        IF(E94=1,0.6,1-0.6),
        IF(F94=1,0.6,1-0.6),
        IF(G94=1,0.6,1-0.6)) * M94</f>
        <v>0.0082944</v>
      </c>
      <c r="J94" s="6" t="n">
        <f aca="false">PRODUCT(IF(B94=1,0.7,1-0.7), IF(A94=1,0.7,1-0.7),
          IF(C94=1,0.7,1-0.7),
          IF(D94=1,0.7,1-0.7),
          IF(E94=1,0.7,1-0.7),
          IF(F94=1,0.7,1-0.7),
          IF(G94=1,0.7,1-0.7)) * M94</f>
        <v>0.0064827</v>
      </c>
      <c r="K94" s="6" t="n">
        <f aca="false">PRODUCT(IF(B94=1,0.8,1-0.8),IF(A94=1,0.8,1-0.8),
          IF(C94=1,0.8,1-0.8),
          IF(D94=1,0.8,1-0.8),
          IF(E94=1,0.8,1-0.8),
          IF(F94=1,0.8,1-0.8),
          IF(G94=1,0.8,1-0.8)) * M94</f>
        <v>0.0032768</v>
      </c>
      <c r="L94" s="6" t="n">
        <f aca="false">PRODUCT(IF(B94=1,0.9,1-0.9), IF(A94=1,0.9,1-0.9),
          IF(C94=1,0.9,1-0.9),
          IF(D94=1,0.9,1-0.9),
          IF(E94=1,0.9,1-0.9),
          IF(F94=1,0.9,1-0.9),
          IF(G94=1,0.9,1-0.9)) * M94</f>
        <v>0.0006561</v>
      </c>
      <c r="M94" s="2" t="n">
        <f aca="false">IF(C94=1,1,IF(AND(B94=1,A94=1,G94=1,D94=1),1,IF(AND(B94=1,A94=1,F94=1,D94=1,E94=1)
,1,0)))</f>
        <v>1</v>
      </c>
    </row>
    <row r="95" customFormat="false" ht="13.8" hidden="false" customHeight="false" outlineLevel="0" collapsed="false">
      <c r="A95" s="2" t="n">
        <v>1</v>
      </c>
      <c r="B95" s="2" t="n">
        <v>0</v>
      </c>
      <c r="C95" s="2" t="n">
        <v>1</v>
      </c>
      <c r="D95" s="2" t="n">
        <v>1</v>
      </c>
      <c r="E95" s="2" t="n">
        <v>0</v>
      </c>
      <c r="F95" s="2" t="n">
        <v>1</v>
      </c>
      <c r="G95" s="2" t="n">
        <v>1</v>
      </c>
      <c r="H95" s="1" t="n">
        <f aca="false"> ((($A95*$A$2)+(1-$A$2)*(1-$A95))* (($B95*$B$2)+(1-$B$2)*(1-$B95)) *(($C95*$C$2)+(1-
$C$2)*(1-$C95))* (($D95*$D$2)+(1-$D$2)*(1-$D95))* (($E95*$E$2)+(1-$E$2)*(1-$E95))*
(($F95*$F$2)+(1-$F$2)*(1-$F95))* (($G95*$G$2)+(1-$G$2)*(1-$G95)))*$M95</f>
        <v>0.021609</v>
      </c>
      <c r="I95" s="6" t="n">
        <f aca="false">PRODUCT(IF(B95=1,0.6,1-0.6), IF(A95=1,0.6,1-0.6),
        IF(C95=1,0.6,1-0.6),
        IF(D95=1,0.6,1-0.6),
        IF(E95=1,0.6,1-0.6),
        IF(F95=1,0.6,1-0.6),
        IF(G95=1,0.6,1-0.6)) * M95</f>
        <v>0.0124416</v>
      </c>
      <c r="J95" s="6" t="n">
        <f aca="false">PRODUCT(IF(B95=1,0.7,1-0.7), IF(A95=1,0.7,1-0.7),
          IF(C95=1,0.7,1-0.7),
          IF(D95=1,0.7,1-0.7),
          IF(E95=1,0.7,1-0.7),
          IF(F95=1,0.7,1-0.7),
          IF(G95=1,0.7,1-0.7)) * M95</f>
        <v>0.0151263</v>
      </c>
      <c r="K95" s="6" t="n">
        <f aca="false">PRODUCT(IF(B95=1,0.8,1-0.8),IF(A95=1,0.8,1-0.8),
          IF(C95=1,0.8,1-0.8),
          IF(D95=1,0.8,1-0.8),
          IF(E95=1,0.8,1-0.8),
          IF(F95=1,0.8,1-0.8),
          IF(G95=1,0.8,1-0.8)) * M95</f>
        <v>0.0131072</v>
      </c>
      <c r="L95" s="6" t="n">
        <f aca="false">PRODUCT(IF(B95=1,0.9,1-0.9), IF(A95=1,0.9,1-0.9),
          IF(C95=1,0.9,1-0.9),
          IF(D95=1,0.9,1-0.9),
          IF(E95=1,0.9,1-0.9),
          IF(F95=1,0.9,1-0.9),
          IF(G95=1,0.9,1-0.9)) * M95</f>
        <v>0.0059049</v>
      </c>
      <c r="M95" s="2" t="n">
        <f aca="false">IF(C95=1,1,IF(AND(B95=1,A95=1,G95=1,D95=1),1,IF(AND(B95=1,A95=1,F95=1,D95=1,E95=1)
,1,0)))</f>
        <v>1</v>
      </c>
    </row>
    <row r="96" customFormat="false" ht="13.8" hidden="false" customHeight="false" outlineLevel="0" collapsed="false">
      <c r="A96" s="2" t="n">
        <v>1</v>
      </c>
      <c r="B96" s="2" t="n">
        <v>0</v>
      </c>
      <c r="C96" s="2" t="n">
        <v>1</v>
      </c>
      <c r="D96" s="2" t="n">
        <v>1</v>
      </c>
      <c r="E96" s="2" t="n">
        <v>1</v>
      </c>
      <c r="F96" s="2" t="n">
        <v>0</v>
      </c>
      <c r="G96" s="2" t="n">
        <v>0</v>
      </c>
      <c r="H96" s="1" t="n">
        <f aca="false"> ((($A96*$A$2)+(1-$A$2)*(1-$A96))* (($B96*$B$2)+(1-$B$2)*(1-$B96)) *(($C96*$C$2)+(1-
$C$2)*(1-$C96))* (($D96*$D$2)+(1-$D$2)*(1-$D96))* (($E96*$E$2)+(1-$E$2)*(1-$E96))*
(($F96*$F$2)+(1-$F$2)*(1-$F96))* (($G96*$G$2)+(1-$G$2)*(1-$G96)))*$M96</f>
        <v>0</v>
      </c>
      <c r="I96" s="6" t="n">
        <f aca="false">PRODUCT(IF(B96=1,0.6,1-0.6), IF(A96=1,0.6,1-0.6),
        IF(C96=1,0.6,1-0.6),
        IF(D96=1,0.6,1-0.6),
        IF(E96=1,0.6,1-0.6),
        IF(F96=1,0.6,1-0.6),
        IF(G96=1,0.6,1-0.6)) * M96</f>
        <v>0.0082944</v>
      </c>
      <c r="J96" s="6" t="n">
        <f aca="false">PRODUCT(IF(B96=1,0.7,1-0.7), IF(A96=1,0.7,1-0.7),
          IF(C96=1,0.7,1-0.7),
          IF(D96=1,0.7,1-0.7),
          IF(E96=1,0.7,1-0.7),
          IF(F96=1,0.7,1-0.7),
          IF(G96=1,0.7,1-0.7)) * M96</f>
        <v>0.0064827</v>
      </c>
      <c r="K96" s="6" t="n">
        <f aca="false">PRODUCT(IF(B96=1,0.8,1-0.8),IF(A96=1,0.8,1-0.8),
          IF(C96=1,0.8,1-0.8),
          IF(D96=1,0.8,1-0.8),
          IF(E96=1,0.8,1-0.8),
          IF(F96=1,0.8,1-0.8),
          IF(G96=1,0.8,1-0.8)) * M96</f>
        <v>0.0032768</v>
      </c>
      <c r="L96" s="6" t="n">
        <f aca="false">PRODUCT(IF(B96=1,0.9,1-0.9), IF(A96=1,0.9,1-0.9),
          IF(C96=1,0.9,1-0.9),
          IF(D96=1,0.9,1-0.9),
          IF(E96=1,0.9,1-0.9),
          IF(F96=1,0.9,1-0.9),
          IF(G96=1,0.9,1-0.9)) * M96</f>
        <v>0.0006561</v>
      </c>
      <c r="M96" s="2" t="n">
        <f aca="false">IF(C96=1,1,IF(AND(B96=1,A96=1,G96=1,D96=1),1,IF(AND(B96=1,A96=1,F96=1,D96=1,E96=1)
,1,0)))</f>
        <v>1</v>
      </c>
    </row>
    <row r="97" customFormat="false" ht="13.8" hidden="false" customHeight="false" outlineLevel="0" collapsed="false">
      <c r="A97" s="2" t="n">
        <v>1</v>
      </c>
      <c r="B97" s="2" t="n">
        <v>0</v>
      </c>
      <c r="C97" s="2" t="n">
        <v>1</v>
      </c>
      <c r="D97" s="2" t="n">
        <v>1</v>
      </c>
      <c r="E97" s="2" t="n">
        <v>1</v>
      </c>
      <c r="F97" s="2" t="n">
        <v>0</v>
      </c>
      <c r="G97" s="2" t="n">
        <v>1</v>
      </c>
      <c r="H97" s="1" t="n">
        <f aca="false"> ((($A97*$A$2)+(1-$A$2)*(1-$A97))* (($B97*$B$2)+(1-$B$2)*(1-$B97)) *(($C97*$C$2)+(1-
$C$2)*(1-$C97))* (($D97*$D$2)+(1-$D$2)*(1-$D97))* (($E97*$E$2)+(1-$E$2)*(1-$E97))*
(($F97*$F$2)+(1-$F$2)*(1-$F97))* (($G97*$G$2)+(1-$G$2)*(1-$G97)))*$M97</f>
        <v>0.021609</v>
      </c>
      <c r="I97" s="6" t="n">
        <f aca="false">PRODUCT(IF(B97=1,0.6,1-0.6), IF(A97=1,0.6,1-0.6),
        IF(C97=1,0.6,1-0.6),
        IF(D97=1,0.6,1-0.6),
        IF(E97=1,0.6,1-0.6),
        IF(F97=1,0.6,1-0.6),
        IF(G97=1,0.6,1-0.6)) * M97</f>
        <v>0.0124416</v>
      </c>
      <c r="J97" s="6" t="n">
        <f aca="false">PRODUCT(IF(B97=1,0.7,1-0.7), IF(A97=1,0.7,1-0.7),
          IF(C97=1,0.7,1-0.7),
          IF(D97=1,0.7,1-0.7),
          IF(E97=1,0.7,1-0.7),
          IF(F97=1,0.7,1-0.7),
          IF(G97=1,0.7,1-0.7)) * M97</f>
        <v>0.0151263</v>
      </c>
      <c r="K97" s="6" t="n">
        <f aca="false">PRODUCT(IF(B97=1,0.8,1-0.8),IF(A97=1,0.8,1-0.8),
          IF(C97=1,0.8,1-0.8),
          IF(D97=1,0.8,1-0.8),
          IF(E97=1,0.8,1-0.8),
          IF(F97=1,0.8,1-0.8),
          IF(G97=1,0.8,1-0.8)) * M97</f>
        <v>0.0131072</v>
      </c>
      <c r="L97" s="6" t="n">
        <f aca="false">PRODUCT(IF(B97=1,0.9,1-0.9), IF(A97=1,0.9,1-0.9),
          IF(C97=1,0.9,1-0.9),
          IF(D97=1,0.9,1-0.9),
          IF(E97=1,0.9,1-0.9),
          IF(F97=1,0.9,1-0.9),
          IF(G97=1,0.9,1-0.9)) * M97</f>
        <v>0.0059049</v>
      </c>
      <c r="M97" s="2" t="n">
        <f aca="false">IF(C97=1,1,IF(AND(B97=1,A97=1,G97=1,D97=1),1,IF(AND(B97=1,A97=1,F97=1,D97=1,E97=1)
,1,0)))</f>
        <v>1</v>
      </c>
    </row>
    <row r="98" customFormat="false" ht="13.8" hidden="false" customHeight="false" outlineLevel="0" collapsed="false">
      <c r="A98" s="2" t="n">
        <v>1</v>
      </c>
      <c r="B98" s="2" t="n">
        <v>0</v>
      </c>
      <c r="C98" s="2" t="n">
        <v>1</v>
      </c>
      <c r="D98" s="2" t="n">
        <v>1</v>
      </c>
      <c r="E98" s="2" t="n">
        <v>1</v>
      </c>
      <c r="F98" s="2" t="n">
        <v>1</v>
      </c>
      <c r="G98" s="2" t="n">
        <v>0</v>
      </c>
      <c r="H98" s="1" t="n">
        <f aca="false"> ((($A98*$A$2)+(1-$A$2)*(1-$A98))* (($B98*$B$2)+(1-$B$2)*(1-$B98)) *(($C98*$C$2)+(1-
$C$2)*(1-$C98))* (($D98*$D$2)+(1-$D$2)*(1-$D98))* (($E98*$E$2)+(1-$E$2)*(1-$E98))*
(($F98*$F$2)+(1-$F$2)*(1-$F98))* (($G98*$G$2)+(1-$G$2)*(1-$G98)))*$M98</f>
        <v>0</v>
      </c>
      <c r="I98" s="6" t="n">
        <f aca="false">PRODUCT(IF(B98=1,0.6,1-0.6), IF(A98=1,0.6,1-0.6),
        IF(C98=1,0.6,1-0.6),
        IF(D98=1,0.6,1-0.6),
        IF(E98=1,0.6,1-0.6),
        IF(F98=1,0.6,1-0.6),
        IF(G98=1,0.6,1-0.6)) * M98</f>
        <v>0.0124416</v>
      </c>
      <c r="J98" s="6" t="n">
        <f aca="false">PRODUCT(IF(B98=1,0.7,1-0.7), IF(A98=1,0.7,1-0.7),
          IF(C98=1,0.7,1-0.7),
          IF(D98=1,0.7,1-0.7),
          IF(E98=1,0.7,1-0.7),
          IF(F98=1,0.7,1-0.7),
          IF(G98=1,0.7,1-0.7)) * M98</f>
        <v>0.0151263</v>
      </c>
      <c r="K98" s="6" t="n">
        <f aca="false">PRODUCT(IF(B98=1,0.8,1-0.8),IF(A98=1,0.8,1-0.8),
          IF(C98=1,0.8,1-0.8),
          IF(D98=1,0.8,1-0.8),
          IF(E98=1,0.8,1-0.8),
          IF(F98=1,0.8,1-0.8),
          IF(G98=1,0.8,1-0.8)) * M98</f>
        <v>0.0131072</v>
      </c>
      <c r="L98" s="6" t="n">
        <f aca="false">PRODUCT(IF(B98=1,0.9,1-0.9), IF(A98=1,0.9,1-0.9),
          IF(C98=1,0.9,1-0.9),
          IF(D98=1,0.9,1-0.9),
          IF(E98=1,0.9,1-0.9),
          IF(F98=1,0.9,1-0.9),
          IF(G98=1,0.9,1-0.9)) * M98</f>
        <v>0.0059049</v>
      </c>
      <c r="M98" s="2" t="n">
        <f aca="false">IF(C98=1,1,IF(AND(B98=1,A98=1,G98=1,D98=1),1,IF(AND(B98=1,A98=1,F98=1,D98=1,E98=1)
,1,0)))</f>
        <v>1</v>
      </c>
    </row>
    <row r="99" customFormat="false" ht="13.8" hidden="false" customHeight="false" outlineLevel="0" collapsed="false">
      <c r="A99" s="2" t="n">
        <v>1</v>
      </c>
      <c r="B99" s="2" t="n">
        <v>0</v>
      </c>
      <c r="C99" s="2" t="n">
        <v>1</v>
      </c>
      <c r="D99" s="2" t="n">
        <v>1</v>
      </c>
      <c r="E99" s="2" t="n">
        <v>1</v>
      </c>
      <c r="F99" s="2" t="n">
        <v>1</v>
      </c>
      <c r="G99" s="2" t="n">
        <v>1</v>
      </c>
      <c r="H99" s="1" t="n">
        <f aca="false"> ((($A99*$A$2)+(1-$A$2)*(1-$A99))* (($B99*$B$2)+(1-$B$2)*(1-$B99)) *(($C99*$C$2)+(1-
$C$2)*(1-$C99))* (($D99*$D$2)+(1-$D$2)*(1-$D99))* (($E99*$E$2)+(1-$E$2)*(1-$E99))*
(($F99*$F$2)+(1-$F$2)*(1-$F99))* (($G99*$G$2)+(1-$G$2)*(1-$G99)))*$M99</f>
        <v>0.050421</v>
      </c>
      <c r="I99" s="6" t="n">
        <f aca="false">PRODUCT(IF(B99=1,0.6,1-0.6), IF(A99=1,0.6,1-0.6),
        IF(C99=1,0.6,1-0.6),
        IF(D99=1,0.6,1-0.6),
        IF(E99=1,0.6,1-0.6),
        IF(F99=1,0.6,1-0.6),
        IF(G99=1,0.6,1-0.6)) * M99</f>
        <v>0.0186624</v>
      </c>
      <c r="J99" s="6" t="n">
        <f aca="false">PRODUCT(IF(B99=1,0.7,1-0.7), IF(A99=1,0.7,1-0.7),
          IF(C99=1,0.7,1-0.7),
          IF(D99=1,0.7,1-0.7),
          IF(E99=1,0.7,1-0.7),
          IF(F99=1,0.7,1-0.7),
          IF(G99=1,0.7,1-0.7)) * M99</f>
        <v>0.0352947</v>
      </c>
      <c r="K99" s="6" t="n">
        <f aca="false">PRODUCT(IF(B99=1,0.8,1-0.8),IF(A99=1,0.8,1-0.8),
          IF(C99=1,0.8,1-0.8),
          IF(D99=1,0.8,1-0.8),
          IF(E99=1,0.8,1-0.8),
          IF(F99=1,0.8,1-0.8),
          IF(G99=1,0.8,1-0.8)) * M99</f>
        <v>0.0524288</v>
      </c>
      <c r="L99" s="6" t="n">
        <f aca="false">PRODUCT(IF(B99=1,0.9,1-0.9), IF(A99=1,0.9,1-0.9),
          IF(C99=1,0.9,1-0.9),
          IF(D99=1,0.9,1-0.9),
          IF(E99=1,0.9,1-0.9),
          IF(F99=1,0.9,1-0.9),
          IF(G99=1,0.9,1-0.9)) * M99</f>
        <v>0.0531441</v>
      </c>
      <c r="M99" s="2" t="n">
        <f aca="false">IF(C99=1,1,IF(AND(B99=1,A99=1,G99=1,D99=1),1,IF(AND(B99=1,A99=1,F99=1,D99=1,E99=1)
,1,0)))</f>
        <v>1</v>
      </c>
    </row>
    <row r="100" customFormat="false" ht="13.8" hidden="false" customHeight="false" outlineLevel="0" collapsed="false">
      <c r="A100" s="2" t="n">
        <v>1</v>
      </c>
      <c r="B100" s="2" t="n">
        <v>1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1" t="n">
        <f aca="false"> ((($A100*$A$2)+(1-$A$2)*(1-$A100))* (($B100*$B$2)+(1-$B$2)*(1-$B100)) *(($C100*$C$2)+(1-
$C$2)*(1-$C100))* (($D100*$D$2)+(1-$D$2)*(1-$D100))* (($E100*$E$2)+(1-$E$2)*(1-$E100))*
(($F100*$F$2)+(1-$F$2)*(1-$F100))* (($G100*$G$2)+(1-$G$2)*(1-$G100)))*$M100</f>
        <v>0</v>
      </c>
      <c r="I100" s="6" t="n">
        <f aca="false">PRODUCT(IF(B100=1,0.6,1-0.6), IF(A100=1,0.6,1-0.6),
        IF(C100=1,0.6,1-0.6),
        IF(D100=1,0.6,1-0.6),
        IF(E100=1,0.6,1-0.6),
        IF(F100=1,0.6,1-0.6),
        IF(G100=1,0.6,1-0.6)) * M100</f>
        <v>0</v>
      </c>
      <c r="J100" s="6" t="n">
        <f aca="false">PRODUCT(IF(B100=1,0.7,1-0.7), IF(A100=1,0.7,1-0.7),
          IF(C100=1,0.7,1-0.7),
          IF(D100=1,0.7,1-0.7),
          IF(E100=1,0.7,1-0.7),
          IF(F100=1,0.7,1-0.7),
          IF(G100=1,0.7,1-0.7)) * M100</f>
        <v>0</v>
      </c>
      <c r="K100" s="6" t="n">
        <f aca="false">PRODUCT(IF(B100=1,0.8,1-0.8),IF(A100=1,0.8,1-0.8),
          IF(C100=1,0.8,1-0.8),
          IF(D100=1,0.8,1-0.8),
          IF(E100=1,0.8,1-0.8),
          IF(F100=1,0.8,1-0.8),
          IF(G100=1,0.8,1-0.8)) * M100</f>
        <v>0</v>
      </c>
      <c r="L100" s="6" t="n">
        <f aca="false">PRODUCT(IF(B100=1,0.9,1-0.9), IF(A100=1,0.9,1-0.9),
          IF(C100=1,0.9,1-0.9),
          IF(D100=1,0.9,1-0.9),
          IF(E100=1,0.9,1-0.9),
          IF(F100=1,0.9,1-0.9),
          IF(G100=1,0.9,1-0.9)) * M100</f>
        <v>0</v>
      </c>
      <c r="M100" s="2" t="n">
        <f aca="false">IF(C100=1,1,IF(AND(B100=1,A100=1,G100=1,D100=1),1,IF(AND(B100=1,A100=1,F100=1,D100=1,E100=1)
,1,0)))</f>
        <v>0</v>
      </c>
    </row>
    <row r="101" customFormat="false" ht="13.8" hidden="false" customHeight="false" outlineLevel="0" collapsed="false">
      <c r="A101" s="2" t="n">
        <v>1</v>
      </c>
      <c r="B101" s="2" t="n">
        <v>1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1</v>
      </c>
      <c r="H101" s="1" t="n">
        <f aca="false"> ((($A101*$A$2)+(1-$A$2)*(1-$A101))* (($B101*$B$2)+(1-$B$2)*(1-$B101)) *(($C101*$C$2)+(1-
$C$2)*(1-$C101))* (($D101*$D$2)+(1-$D$2)*(1-$D101))* (($E101*$E$2)+(1-$E$2)*(1-$E101))*
(($F101*$F$2)+(1-$F$2)*(1-$F101))* (($G101*$G$2)+(1-$G$2)*(1-$G101)))*$M101</f>
        <v>0</v>
      </c>
      <c r="I101" s="6" t="n">
        <f aca="false">PRODUCT(IF(B101=1,0.6,1-0.6), IF(A101=1,0.6,1-0.6),
        IF(C101=1,0.6,1-0.6),
        IF(D101=1,0.6,1-0.6),
        IF(E101=1,0.6,1-0.6),
        IF(F101=1,0.6,1-0.6),
        IF(G101=1,0.6,1-0.6)) * M101</f>
        <v>0</v>
      </c>
      <c r="J101" s="6" t="n">
        <f aca="false">PRODUCT(IF(B101=1,0.7,1-0.7), IF(A101=1,0.7,1-0.7),
          IF(C101=1,0.7,1-0.7),
          IF(D101=1,0.7,1-0.7),
          IF(E101=1,0.7,1-0.7),
          IF(F101=1,0.7,1-0.7),
          IF(G101=1,0.7,1-0.7)) * M101</f>
        <v>0</v>
      </c>
      <c r="K101" s="6" t="n">
        <f aca="false">PRODUCT(IF(B101=1,0.8,1-0.8),IF(A101=1,0.8,1-0.8),
          IF(C101=1,0.8,1-0.8),
          IF(D101=1,0.8,1-0.8),
          IF(E101=1,0.8,1-0.8),
          IF(F101=1,0.8,1-0.8),
          IF(G101=1,0.8,1-0.8)) * M101</f>
        <v>0</v>
      </c>
      <c r="L101" s="6" t="n">
        <f aca="false">PRODUCT(IF(B101=1,0.9,1-0.9), IF(A101=1,0.9,1-0.9),
          IF(C101=1,0.9,1-0.9),
          IF(D101=1,0.9,1-0.9),
          IF(E101=1,0.9,1-0.9),
          IF(F101=1,0.9,1-0.9),
          IF(G101=1,0.9,1-0.9)) * M101</f>
        <v>0</v>
      </c>
      <c r="M101" s="2" t="n">
        <f aca="false">IF(C101=1,1,IF(AND(B101=1,A101=1,G101=1,D101=1),1,IF(AND(B101=1,A101=1,F101=1,D101=1,E101=1)
,1,0)))</f>
        <v>0</v>
      </c>
    </row>
    <row r="102" customFormat="false" ht="13.8" hidden="false" customHeight="false" outlineLevel="0" collapsed="false">
      <c r="A102" s="2" t="n">
        <v>1</v>
      </c>
      <c r="B102" s="2" t="n">
        <v>1</v>
      </c>
      <c r="C102" s="2" t="n">
        <v>0</v>
      </c>
      <c r="D102" s="2" t="n">
        <v>0</v>
      </c>
      <c r="E102" s="2" t="n">
        <v>0</v>
      </c>
      <c r="F102" s="2" t="n">
        <v>1</v>
      </c>
      <c r="G102" s="2" t="n">
        <v>0</v>
      </c>
      <c r="H102" s="1" t="n">
        <f aca="false"> ((($A102*$A$2)+(1-$A$2)*(1-$A102))* (($B102*$B$2)+(1-$B$2)*(1-$B102)) *(($C102*$C$2)+(1-
$C$2)*(1-$C102))* (($D102*$D$2)+(1-$D$2)*(1-$D102))* (($E102*$E$2)+(1-$E$2)*(1-$E102))*
(($F102*$F$2)+(1-$F$2)*(1-$F102))* (($G102*$G$2)+(1-$G$2)*(1-$G102)))*$M102</f>
        <v>0</v>
      </c>
      <c r="I102" s="6" t="n">
        <f aca="false">PRODUCT(IF(B102=1,0.6,1-0.6), IF(A102=1,0.6,1-0.6),
        IF(C102=1,0.6,1-0.6),
        IF(D102=1,0.6,1-0.6),
        IF(E102=1,0.6,1-0.6),
        IF(F102=1,0.6,1-0.6),
        IF(G102=1,0.6,1-0.6)) * M102</f>
        <v>0</v>
      </c>
      <c r="J102" s="6" t="n">
        <f aca="false">PRODUCT(IF(B102=1,0.7,1-0.7), IF(A102=1,0.7,1-0.7),
          IF(C102=1,0.7,1-0.7),
          IF(D102=1,0.7,1-0.7),
          IF(E102=1,0.7,1-0.7),
          IF(F102=1,0.7,1-0.7),
          IF(G102=1,0.7,1-0.7)) * M102</f>
        <v>0</v>
      </c>
      <c r="K102" s="6" t="n">
        <f aca="false">PRODUCT(IF(B102=1,0.8,1-0.8),IF(A102=1,0.8,1-0.8),
          IF(C102=1,0.8,1-0.8),
          IF(D102=1,0.8,1-0.8),
          IF(E102=1,0.8,1-0.8),
          IF(F102=1,0.8,1-0.8),
          IF(G102=1,0.8,1-0.8)) * M102</f>
        <v>0</v>
      </c>
      <c r="L102" s="6" t="n">
        <f aca="false">PRODUCT(IF(B102=1,0.9,1-0.9), IF(A102=1,0.9,1-0.9),
          IF(C102=1,0.9,1-0.9),
          IF(D102=1,0.9,1-0.9),
          IF(E102=1,0.9,1-0.9),
          IF(F102=1,0.9,1-0.9),
          IF(G102=1,0.9,1-0.9)) * M102</f>
        <v>0</v>
      </c>
      <c r="M102" s="2" t="n">
        <f aca="false">IF(C102=1,1,IF(AND(B102=1,A102=1,G102=1,D102=1),1,IF(AND(B102=1,A102=1,F102=1,D102=1,E102=1)
,1,0)))</f>
        <v>0</v>
      </c>
    </row>
    <row r="103" customFormat="false" ht="13.8" hidden="false" customHeight="false" outlineLevel="0" collapsed="false">
      <c r="A103" s="2" t="n">
        <v>1</v>
      </c>
      <c r="B103" s="2" t="n">
        <v>1</v>
      </c>
      <c r="C103" s="2" t="n">
        <v>0</v>
      </c>
      <c r="D103" s="2" t="n">
        <v>0</v>
      </c>
      <c r="E103" s="2" t="n">
        <v>0</v>
      </c>
      <c r="F103" s="2" t="n">
        <v>1</v>
      </c>
      <c r="G103" s="2" t="n">
        <v>1</v>
      </c>
      <c r="H103" s="1" t="n">
        <f aca="false"> ((($A103*$A$2)+(1-$A$2)*(1-$A103))* (($B103*$B$2)+(1-$B$2)*(1-$B103)) *(($C103*$C$2)+(1-
$C$2)*(1-$C103))* (($D103*$D$2)+(1-$D$2)*(1-$D103))* (($E103*$E$2)+(1-$E$2)*(1-$E103))*
(($F103*$F$2)+(1-$F$2)*(1-$F103))* (($G103*$G$2)+(1-$G$2)*(1-$G103)))*$M103</f>
        <v>0</v>
      </c>
      <c r="I103" s="6" t="n">
        <f aca="false">PRODUCT(IF(B103=1,0.6,1-0.6), IF(A103=1,0.6,1-0.6),
        IF(C103=1,0.6,1-0.6),
        IF(D103=1,0.6,1-0.6),
        IF(E103=1,0.6,1-0.6),
        IF(F103=1,0.6,1-0.6),
        IF(G103=1,0.6,1-0.6)) * M103</f>
        <v>0</v>
      </c>
      <c r="J103" s="6" t="n">
        <f aca="false">PRODUCT(IF(B103=1,0.7,1-0.7), IF(A103=1,0.7,1-0.7),
          IF(C103=1,0.7,1-0.7),
          IF(D103=1,0.7,1-0.7),
          IF(E103=1,0.7,1-0.7),
          IF(F103=1,0.7,1-0.7),
          IF(G103=1,0.7,1-0.7)) * M103</f>
        <v>0</v>
      </c>
      <c r="K103" s="6" t="n">
        <f aca="false">PRODUCT(IF(B103=1,0.8,1-0.8),IF(A103=1,0.8,1-0.8),
          IF(C103=1,0.8,1-0.8),
          IF(D103=1,0.8,1-0.8),
          IF(E103=1,0.8,1-0.8),
          IF(F103=1,0.8,1-0.8),
          IF(G103=1,0.8,1-0.8)) * M103</f>
        <v>0</v>
      </c>
      <c r="L103" s="6" t="n">
        <f aca="false">PRODUCT(IF(B103=1,0.9,1-0.9), IF(A103=1,0.9,1-0.9),
          IF(C103=1,0.9,1-0.9),
          IF(D103=1,0.9,1-0.9),
          IF(E103=1,0.9,1-0.9),
          IF(F103=1,0.9,1-0.9),
          IF(G103=1,0.9,1-0.9)) * M103</f>
        <v>0</v>
      </c>
      <c r="M103" s="2" t="n">
        <f aca="false">IF(C103=1,1,IF(AND(B103=1,A103=1,G103=1,D103=1),1,IF(AND(B103=1,A103=1,F103=1,D103=1,E103=1)
,1,0)))</f>
        <v>0</v>
      </c>
    </row>
    <row r="104" customFormat="false" ht="13.8" hidden="false" customHeight="false" outlineLevel="0" collapsed="false">
      <c r="A104" s="2" t="n">
        <v>1</v>
      </c>
      <c r="B104" s="2" t="n">
        <v>1</v>
      </c>
      <c r="C104" s="2" t="n">
        <v>0</v>
      </c>
      <c r="D104" s="2" t="n">
        <v>0</v>
      </c>
      <c r="E104" s="2" t="n">
        <v>1</v>
      </c>
      <c r="F104" s="2" t="n">
        <v>0</v>
      </c>
      <c r="G104" s="2" t="n">
        <v>0</v>
      </c>
      <c r="H104" s="1" t="n">
        <f aca="false"> ((($A104*$A$2)+(1-$A$2)*(1-$A104))* (($B104*$B$2)+(1-$B$2)*(1-$B104)) *(($C104*$C$2)+(1-
$C$2)*(1-$C104))* (($D104*$D$2)+(1-$D$2)*(1-$D104))* (($E104*$E$2)+(1-$E$2)*(1-$E104))*
(($F104*$F$2)+(1-$F$2)*(1-$F104))* (($G104*$G$2)+(1-$G$2)*(1-$G104)))*$M104</f>
        <v>0</v>
      </c>
      <c r="I104" s="6" t="n">
        <f aca="false">PRODUCT(IF(B104=1,0.6,1-0.6), IF(A104=1,0.6,1-0.6),
        IF(C104=1,0.6,1-0.6),
        IF(D104=1,0.6,1-0.6),
        IF(E104=1,0.6,1-0.6),
        IF(F104=1,0.6,1-0.6),
        IF(G104=1,0.6,1-0.6)) * M104</f>
        <v>0</v>
      </c>
      <c r="J104" s="6" t="n">
        <f aca="false">PRODUCT(IF(B104=1,0.7,1-0.7), IF(A104=1,0.7,1-0.7),
          IF(C104=1,0.7,1-0.7),
          IF(D104=1,0.7,1-0.7),
          IF(E104=1,0.7,1-0.7),
          IF(F104=1,0.7,1-0.7),
          IF(G104=1,0.7,1-0.7)) * M104</f>
        <v>0</v>
      </c>
      <c r="K104" s="6" t="n">
        <f aca="false">PRODUCT(IF(B104=1,0.8,1-0.8),IF(A104=1,0.8,1-0.8),
          IF(C104=1,0.8,1-0.8),
          IF(D104=1,0.8,1-0.8),
          IF(E104=1,0.8,1-0.8),
          IF(F104=1,0.8,1-0.8),
          IF(G104=1,0.8,1-0.8)) * M104</f>
        <v>0</v>
      </c>
      <c r="L104" s="6" t="n">
        <f aca="false">PRODUCT(IF(B104=1,0.9,1-0.9), IF(A104=1,0.9,1-0.9),
          IF(C104=1,0.9,1-0.9),
          IF(D104=1,0.9,1-0.9),
          IF(E104=1,0.9,1-0.9),
          IF(F104=1,0.9,1-0.9),
          IF(G104=1,0.9,1-0.9)) * M104</f>
        <v>0</v>
      </c>
      <c r="M104" s="2" t="n">
        <f aca="false">IF(C104=1,1,IF(AND(B104=1,A104=1,G104=1,D104=1),1,IF(AND(B104=1,A104=1,F104=1,D104=1,E104=1)
,1,0)))</f>
        <v>0</v>
      </c>
    </row>
    <row r="105" customFormat="false" ht="13.8" hidden="false" customHeight="false" outlineLevel="0" collapsed="false">
      <c r="A105" s="2" t="n">
        <v>1</v>
      </c>
      <c r="B105" s="2" t="n">
        <v>1</v>
      </c>
      <c r="C105" s="2" t="n">
        <v>0</v>
      </c>
      <c r="D105" s="2" t="n">
        <v>0</v>
      </c>
      <c r="E105" s="2" t="n">
        <v>1</v>
      </c>
      <c r="F105" s="2" t="n">
        <v>0</v>
      </c>
      <c r="G105" s="2" t="n">
        <v>1</v>
      </c>
      <c r="H105" s="1" t="n">
        <f aca="false"> ((($A105*$A$2)+(1-$A$2)*(1-$A105))* (($B105*$B$2)+(1-$B$2)*(1-$B105)) *(($C105*$C$2)+(1-
$C$2)*(1-$C105))* (($D105*$D$2)+(1-$D$2)*(1-$D105))* (($E105*$E$2)+(1-$E$2)*(1-$E105))*
(($F105*$F$2)+(1-$F$2)*(1-$F105))* (($G105*$G$2)+(1-$G$2)*(1-$G105)))*$M105</f>
        <v>0</v>
      </c>
      <c r="I105" s="6" t="n">
        <f aca="false">PRODUCT(IF(B105=1,0.6,1-0.6), IF(A105=1,0.6,1-0.6),
        IF(C105=1,0.6,1-0.6),
        IF(D105=1,0.6,1-0.6),
        IF(E105=1,0.6,1-0.6),
        IF(F105=1,0.6,1-0.6),
        IF(G105=1,0.6,1-0.6)) * M105</f>
        <v>0</v>
      </c>
      <c r="J105" s="6" t="n">
        <f aca="false">PRODUCT(IF(B105=1,0.7,1-0.7), IF(A105=1,0.7,1-0.7),
          IF(C105=1,0.7,1-0.7),
          IF(D105=1,0.7,1-0.7),
          IF(E105=1,0.7,1-0.7),
          IF(F105=1,0.7,1-0.7),
          IF(G105=1,0.7,1-0.7)) * M105</f>
        <v>0</v>
      </c>
      <c r="K105" s="6" t="n">
        <f aca="false">PRODUCT(IF(B105=1,0.8,1-0.8),IF(A105=1,0.8,1-0.8),
          IF(C105=1,0.8,1-0.8),
          IF(D105=1,0.8,1-0.8),
          IF(E105=1,0.8,1-0.8),
          IF(F105=1,0.8,1-0.8),
          IF(G105=1,0.8,1-0.8)) * M105</f>
        <v>0</v>
      </c>
      <c r="L105" s="6" t="n">
        <f aca="false">PRODUCT(IF(B105=1,0.9,1-0.9), IF(A105=1,0.9,1-0.9),
          IF(C105=1,0.9,1-0.9),
          IF(D105=1,0.9,1-0.9),
          IF(E105=1,0.9,1-0.9),
          IF(F105=1,0.9,1-0.9),
          IF(G105=1,0.9,1-0.9)) * M105</f>
        <v>0</v>
      </c>
      <c r="M105" s="2" t="n">
        <f aca="false">IF(C105=1,1,IF(AND(B105=1,A105=1,G105=1,D105=1),1,IF(AND(B105=1,A105=1,F105=1,D105=1,E105=1)
,1,0)))</f>
        <v>0</v>
      </c>
    </row>
    <row r="106" customFormat="false" ht="13.8" hidden="false" customHeight="false" outlineLevel="0" collapsed="false">
      <c r="A106" s="2" t="n">
        <v>1</v>
      </c>
      <c r="B106" s="2" t="n">
        <v>1</v>
      </c>
      <c r="C106" s="2" t="n">
        <v>0</v>
      </c>
      <c r="D106" s="2" t="n">
        <v>0</v>
      </c>
      <c r="E106" s="2" t="n">
        <v>1</v>
      </c>
      <c r="F106" s="2" t="n">
        <v>1</v>
      </c>
      <c r="G106" s="2" t="n">
        <v>0</v>
      </c>
      <c r="H106" s="1" t="n">
        <f aca="false"> ((($A106*$A$2)+(1-$A$2)*(1-$A106))* (($B106*$B$2)+(1-$B$2)*(1-$B106)) *(($C106*$C$2)+(1-
$C$2)*(1-$C106))* (($D106*$D$2)+(1-$D$2)*(1-$D106))* (($E106*$E$2)+(1-$E$2)*(1-$E106))*
(($F106*$F$2)+(1-$F$2)*(1-$F106))* (($G106*$G$2)+(1-$G$2)*(1-$G106)))*$M106</f>
        <v>0</v>
      </c>
      <c r="I106" s="6" t="n">
        <f aca="false">PRODUCT(IF(B106=1,0.6,1-0.6), IF(A106=1,0.6,1-0.6),
        IF(C106=1,0.6,1-0.6),
        IF(D106=1,0.6,1-0.6),
        IF(E106=1,0.6,1-0.6),
        IF(F106=1,0.6,1-0.6),
        IF(G106=1,0.6,1-0.6)) * M106</f>
        <v>0</v>
      </c>
      <c r="J106" s="6" t="n">
        <f aca="false">PRODUCT(IF(B106=1,0.7,1-0.7), IF(A106=1,0.7,1-0.7),
          IF(C106=1,0.7,1-0.7),
          IF(D106=1,0.7,1-0.7),
          IF(E106=1,0.7,1-0.7),
          IF(F106=1,0.7,1-0.7),
          IF(G106=1,0.7,1-0.7)) * M106</f>
        <v>0</v>
      </c>
      <c r="K106" s="6" t="n">
        <f aca="false">PRODUCT(IF(B106=1,0.8,1-0.8),IF(A106=1,0.8,1-0.8),
          IF(C106=1,0.8,1-0.8),
          IF(D106=1,0.8,1-0.8),
          IF(E106=1,0.8,1-0.8),
          IF(F106=1,0.8,1-0.8),
          IF(G106=1,0.8,1-0.8)) * M106</f>
        <v>0</v>
      </c>
      <c r="L106" s="6" t="n">
        <f aca="false">PRODUCT(IF(B106=1,0.9,1-0.9), IF(A106=1,0.9,1-0.9),
          IF(C106=1,0.9,1-0.9),
          IF(D106=1,0.9,1-0.9),
          IF(E106=1,0.9,1-0.9),
          IF(F106=1,0.9,1-0.9),
          IF(G106=1,0.9,1-0.9)) * M106</f>
        <v>0</v>
      </c>
      <c r="M106" s="2" t="n">
        <f aca="false">IF(C106=1,1,IF(AND(B106=1,A106=1,G106=1,D106=1),1,IF(AND(B106=1,A106=1,F106=1,D106=1,E106=1)
,1,0)))</f>
        <v>0</v>
      </c>
    </row>
    <row r="107" customFormat="false" ht="13.8" hidden="false" customHeight="false" outlineLevel="0" collapsed="false">
      <c r="A107" s="2" t="n">
        <v>1</v>
      </c>
      <c r="B107" s="2" t="n">
        <v>1</v>
      </c>
      <c r="C107" s="2" t="n">
        <v>0</v>
      </c>
      <c r="D107" s="2" t="n">
        <v>0</v>
      </c>
      <c r="E107" s="2" t="n">
        <v>1</v>
      </c>
      <c r="F107" s="2" t="n">
        <v>1</v>
      </c>
      <c r="G107" s="2" t="n">
        <v>1</v>
      </c>
      <c r="H107" s="1" t="n">
        <f aca="false"> ((($A107*$A$2)+(1-$A$2)*(1-$A107))* (($B107*$B$2)+(1-$B$2)*(1-$B107)) *(($C107*$C$2)+(1-
$C$2)*(1-$C107))* (($D107*$D$2)+(1-$D$2)*(1-$D107))* (($E107*$E$2)+(1-$E$2)*(1-$E107))*
(($F107*$F$2)+(1-$F$2)*(1-$F107))* (($G107*$G$2)+(1-$G$2)*(1-$G107)))*$M107</f>
        <v>0</v>
      </c>
      <c r="I107" s="6" t="n">
        <f aca="false">PRODUCT(IF(B107=1,0.6,1-0.6), IF(A107=1,0.6,1-0.6),
        IF(C107=1,0.6,1-0.6),
        IF(D107=1,0.6,1-0.6),
        IF(E107=1,0.6,1-0.6),
        IF(F107=1,0.6,1-0.6),
        IF(G107=1,0.6,1-0.6)) * M107</f>
        <v>0</v>
      </c>
      <c r="J107" s="6" t="n">
        <f aca="false">PRODUCT(IF(B107=1,0.7,1-0.7), IF(A107=1,0.7,1-0.7),
          IF(C107=1,0.7,1-0.7),
          IF(D107=1,0.7,1-0.7),
          IF(E107=1,0.7,1-0.7),
          IF(F107=1,0.7,1-0.7),
          IF(G107=1,0.7,1-0.7)) * M107</f>
        <v>0</v>
      </c>
      <c r="K107" s="6" t="n">
        <f aca="false">PRODUCT(IF(B107=1,0.8,1-0.8),IF(A107=1,0.8,1-0.8),
          IF(C107=1,0.8,1-0.8),
          IF(D107=1,0.8,1-0.8),
          IF(E107=1,0.8,1-0.8),
          IF(F107=1,0.8,1-0.8),
          IF(G107=1,0.8,1-0.8)) * M107</f>
        <v>0</v>
      </c>
      <c r="L107" s="6" t="n">
        <f aca="false">PRODUCT(IF(B107=1,0.9,1-0.9), IF(A107=1,0.9,1-0.9),
          IF(C107=1,0.9,1-0.9),
          IF(D107=1,0.9,1-0.9),
          IF(E107=1,0.9,1-0.9),
          IF(F107=1,0.9,1-0.9),
          IF(G107=1,0.9,1-0.9)) * M107</f>
        <v>0</v>
      </c>
      <c r="M107" s="2" t="n">
        <f aca="false">IF(C107=1,1,IF(AND(B107=1,A107=1,G107=1,D107=1),1,IF(AND(B107=1,A107=1,F107=1,D107=1,E107=1)
,1,0)))</f>
        <v>0</v>
      </c>
    </row>
    <row r="108" customFormat="false" ht="13.8" hidden="false" customHeight="false" outlineLevel="0" collapsed="false">
      <c r="A108" s="2" t="n">
        <v>1</v>
      </c>
      <c r="B108" s="2" t="n">
        <v>1</v>
      </c>
      <c r="C108" s="2" t="n">
        <v>0</v>
      </c>
      <c r="D108" s="2" t="n">
        <v>1</v>
      </c>
      <c r="E108" s="2" t="n">
        <v>0</v>
      </c>
      <c r="F108" s="2" t="n">
        <v>0</v>
      </c>
      <c r="G108" s="2" t="n">
        <v>0</v>
      </c>
      <c r="H108" s="1" t="n">
        <f aca="false"> ((($A108*$A$2)+(1-$A$2)*(1-$A108))* (($B108*$B$2)+(1-$B$2)*(1-$B108)) *(($C108*$C$2)+(1-
$C$2)*(1-$C108))* (($D108*$D$2)+(1-$D$2)*(1-$D108))* (($E108*$E$2)+(1-$E$2)*(1-$E108))*
(($F108*$F$2)+(1-$F$2)*(1-$F108))* (($G108*$G$2)+(1-$G$2)*(1-$G108)))*$M108</f>
        <v>0</v>
      </c>
      <c r="I108" s="6" t="n">
        <f aca="false">PRODUCT(IF(B108=1,0.6,1-0.6), IF(A108=1,0.6,1-0.6),
        IF(C108=1,0.6,1-0.6),
        IF(D108=1,0.6,1-0.6),
        IF(E108=1,0.6,1-0.6),
        IF(F108=1,0.6,1-0.6),
        IF(G108=1,0.6,1-0.6)) * M108</f>
        <v>0</v>
      </c>
      <c r="J108" s="6" t="n">
        <f aca="false">PRODUCT(IF(B108=1,0.7,1-0.7), IF(A108=1,0.7,1-0.7),
          IF(C108=1,0.7,1-0.7),
          IF(D108=1,0.7,1-0.7),
          IF(E108=1,0.7,1-0.7),
          IF(F108=1,0.7,1-0.7),
          IF(G108=1,0.7,1-0.7)) * M108</f>
        <v>0</v>
      </c>
      <c r="K108" s="6" t="n">
        <f aca="false">PRODUCT(IF(B108=1,0.8,1-0.8),IF(A108=1,0.8,1-0.8),
          IF(C108=1,0.8,1-0.8),
          IF(D108=1,0.8,1-0.8),
          IF(E108=1,0.8,1-0.8),
          IF(F108=1,0.8,1-0.8),
          IF(G108=1,0.8,1-0.8)) * M108</f>
        <v>0</v>
      </c>
      <c r="L108" s="6" t="n">
        <f aca="false">PRODUCT(IF(B108=1,0.9,1-0.9), IF(A108=1,0.9,1-0.9),
          IF(C108=1,0.9,1-0.9),
          IF(D108=1,0.9,1-0.9),
          IF(E108=1,0.9,1-0.9),
          IF(F108=1,0.9,1-0.9),
          IF(G108=1,0.9,1-0.9)) * M108</f>
        <v>0</v>
      </c>
      <c r="M108" s="2" t="n">
        <f aca="false">IF(C108=1,1,IF(AND(B108=1,A108=1,G108=1,D108=1),1,IF(AND(B108=1,A108=1,F108=1,D108=1,E108=1)
,1,0)))</f>
        <v>0</v>
      </c>
    </row>
    <row r="109" customFormat="false" ht="13.8" hidden="false" customHeight="false" outlineLevel="0" collapsed="false">
      <c r="A109" s="2" t="n">
        <v>1</v>
      </c>
      <c r="B109" s="2" t="n">
        <v>1</v>
      </c>
      <c r="C109" s="2" t="n">
        <v>0</v>
      </c>
      <c r="D109" s="2" t="n">
        <v>1</v>
      </c>
      <c r="E109" s="2" t="n">
        <v>0</v>
      </c>
      <c r="F109" s="2" t="n">
        <v>0</v>
      </c>
      <c r="G109" s="2" t="n">
        <v>1</v>
      </c>
      <c r="H109" s="1" t="n">
        <f aca="false"> ((($A109*$A$2)+(1-$A$2)*(1-$A109))* (($B109*$B$2)+(1-$B$2)*(1-$B109)) *(($C109*$C$2)+(1-
$C$2)*(1-$C109))* (($D109*$D$2)+(1-$D$2)*(1-$D109))* (($E109*$E$2)+(1-$E$2)*(1-$E109))*
(($F109*$F$2)+(1-$F$2)*(1-$F109))* (($G109*$G$2)+(1-$G$2)*(1-$G109)))*$M109</f>
        <v>0.009261</v>
      </c>
      <c r="I109" s="6" t="n">
        <f aca="false">PRODUCT(IF(B109=1,0.6,1-0.6), IF(A109=1,0.6,1-0.6),
        IF(C109=1,0.6,1-0.6),
        IF(D109=1,0.6,1-0.6),
        IF(E109=1,0.6,1-0.6),
        IF(F109=1,0.6,1-0.6),
        IF(G109=1,0.6,1-0.6)) * M109</f>
        <v>0.0082944</v>
      </c>
      <c r="J109" s="6" t="n">
        <f aca="false">PRODUCT(IF(B109=1,0.7,1-0.7), IF(A109=1,0.7,1-0.7),
          IF(C109=1,0.7,1-0.7),
          IF(D109=1,0.7,1-0.7),
          IF(E109=1,0.7,1-0.7),
          IF(F109=1,0.7,1-0.7),
          IF(G109=1,0.7,1-0.7)) * M109</f>
        <v>0.0064827</v>
      </c>
      <c r="K109" s="6" t="n">
        <f aca="false">PRODUCT(IF(B109=1,0.8,1-0.8),IF(A109=1,0.8,1-0.8),
          IF(C109=1,0.8,1-0.8),
          IF(D109=1,0.8,1-0.8),
          IF(E109=1,0.8,1-0.8),
          IF(F109=1,0.8,1-0.8),
          IF(G109=1,0.8,1-0.8)) * M109</f>
        <v>0.0032768</v>
      </c>
      <c r="L109" s="6" t="n">
        <f aca="false">PRODUCT(IF(B109=1,0.9,1-0.9), IF(A109=1,0.9,1-0.9),
          IF(C109=1,0.9,1-0.9),
          IF(D109=1,0.9,1-0.9),
          IF(E109=1,0.9,1-0.9),
          IF(F109=1,0.9,1-0.9),
          IF(G109=1,0.9,1-0.9)) * M109</f>
        <v>0.0006561</v>
      </c>
      <c r="M109" s="2" t="n">
        <f aca="false">IF(C109=1,1,IF(AND(B109=1,A109=1,G109=1,D109=1),1,IF(AND(B109=1,A109=1,F109=1,D109=1,E109=1)
,1,0)))</f>
        <v>1</v>
      </c>
    </row>
    <row r="110" customFormat="false" ht="13.8" hidden="false" customHeight="false" outlineLevel="0" collapsed="false">
      <c r="A110" s="2" t="n">
        <v>1</v>
      </c>
      <c r="B110" s="2" t="n">
        <v>1</v>
      </c>
      <c r="C110" s="2" t="n">
        <v>0</v>
      </c>
      <c r="D110" s="2" t="n">
        <v>1</v>
      </c>
      <c r="E110" s="2" t="n">
        <v>0</v>
      </c>
      <c r="F110" s="2" t="n">
        <v>1</v>
      </c>
      <c r="G110" s="2" t="n">
        <v>0</v>
      </c>
      <c r="H110" s="1" t="n">
        <f aca="false"> ((($A110*$A$2)+(1-$A$2)*(1-$A110))* (($B110*$B$2)+(1-$B$2)*(1-$B110)) *(($C110*$C$2)+(1-
$C$2)*(1-$C110))* (($D110*$D$2)+(1-$D$2)*(1-$D110))* (($E110*$E$2)+(1-$E$2)*(1-$E110))*
(($F110*$F$2)+(1-$F$2)*(1-$F110))* (($G110*$G$2)+(1-$G$2)*(1-$G110)))*$M110</f>
        <v>0</v>
      </c>
      <c r="I110" s="6" t="n">
        <f aca="false">PRODUCT(IF(B110=1,0.6,1-0.6), IF(A110=1,0.6,1-0.6),
        IF(C110=1,0.6,1-0.6),
        IF(D110=1,0.6,1-0.6),
        IF(E110=1,0.6,1-0.6),
        IF(F110=1,0.6,1-0.6),
        IF(G110=1,0.6,1-0.6)) * M110</f>
        <v>0</v>
      </c>
      <c r="J110" s="6" t="n">
        <f aca="false">PRODUCT(IF(B110=1,0.7,1-0.7), IF(A110=1,0.7,1-0.7),
          IF(C110=1,0.7,1-0.7),
          IF(D110=1,0.7,1-0.7),
          IF(E110=1,0.7,1-0.7),
          IF(F110=1,0.7,1-0.7),
          IF(G110=1,0.7,1-0.7)) * M110</f>
        <v>0</v>
      </c>
      <c r="K110" s="6" t="n">
        <f aca="false">PRODUCT(IF(B110=1,0.8,1-0.8),IF(A110=1,0.8,1-0.8),
          IF(C110=1,0.8,1-0.8),
          IF(D110=1,0.8,1-0.8),
          IF(E110=1,0.8,1-0.8),
          IF(F110=1,0.8,1-0.8),
          IF(G110=1,0.8,1-0.8)) * M110</f>
        <v>0</v>
      </c>
      <c r="L110" s="6" t="n">
        <f aca="false">PRODUCT(IF(B110=1,0.9,1-0.9), IF(A110=1,0.9,1-0.9),
          IF(C110=1,0.9,1-0.9),
          IF(D110=1,0.9,1-0.9),
          IF(E110=1,0.9,1-0.9),
          IF(F110=1,0.9,1-0.9),
          IF(G110=1,0.9,1-0.9)) * M110</f>
        <v>0</v>
      </c>
      <c r="M110" s="2" t="n">
        <f aca="false">IF(C110=1,1,IF(AND(B110=1,A110=1,G110=1,D110=1),1,IF(AND(B110=1,A110=1,F110=1,D110=1,E110=1)
,1,0)))</f>
        <v>0</v>
      </c>
    </row>
    <row r="111" customFormat="false" ht="13.8" hidden="false" customHeight="false" outlineLevel="0" collapsed="false">
      <c r="A111" s="2" t="n">
        <v>1</v>
      </c>
      <c r="B111" s="2" t="n">
        <v>1</v>
      </c>
      <c r="C111" s="2" t="n">
        <v>0</v>
      </c>
      <c r="D111" s="2" t="n">
        <v>1</v>
      </c>
      <c r="E111" s="2" t="n">
        <v>0</v>
      </c>
      <c r="F111" s="2" t="n">
        <v>1</v>
      </c>
      <c r="G111" s="2" t="n">
        <v>1</v>
      </c>
      <c r="H111" s="1" t="n">
        <f aca="false"> ((($A111*$A$2)+(1-$A$2)*(1-$A111))* (($B111*$B$2)+(1-$B$2)*(1-$B111)) *(($C111*$C$2)+(1-
$C$2)*(1-$C111))* (($D111*$D$2)+(1-$D$2)*(1-$D111))* (($E111*$E$2)+(1-$E$2)*(1-$E111))*
(($F111*$F$2)+(1-$F$2)*(1-$F111))* (($G111*$G$2)+(1-$G$2)*(1-$G111)))*$M111</f>
        <v>0.021609</v>
      </c>
      <c r="I111" s="6" t="n">
        <f aca="false">PRODUCT(IF(B111=1,0.6,1-0.6), IF(A111=1,0.6,1-0.6),
        IF(C111=1,0.6,1-0.6),
        IF(D111=1,0.6,1-0.6),
        IF(E111=1,0.6,1-0.6),
        IF(F111=1,0.6,1-0.6),
        IF(G111=1,0.6,1-0.6)) * M111</f>
        <v>0.0124416</v>
      </c>
      <c r="J111" s="6" t="n">
        <f aca="false">PRODUCT(IF(B111=1,0.7,1-0.7), IF(A111=1,0.7,1-0.7),
          IF(C111=1,0.7,1-0.7),
          IF(D111=1,0.7,1-0.7),
          IF(E111=1,0.7,1-0.7),
          IF(F111=1,0.7,1-0.7),
          IF(G111=1,0.7,1-0.7)) * M111</f>
        <v>0.0151263</v>
      </c>
      <c r="K111" s="6" t="n">
        <f aca="false">PRODUCT(IF(B111=1,0.8,1-0.8),IF(A111=1,0.8,1-0.8),
          IF(C111=1,0.8,1-0.8),
          IF(D111=1,0.8,1-0.8),
          IF(E111=1,0.8,1-0.8),
          IF(F111=1,0.8,1-0.8),
          IF(G111=1,0.8,1-0.8)) * M111</f>
        <v>0.0131072</v>
      </c>
      <c r="L111" s="6" t="n">
        <f aca="false">PRODUCT(IF(B111=1,0.9,1-0.9), IF(A111=1,0.9,1-0.9),
          IF(C111=1,0.9,1-0.9),
          IF(D111=1,0.9,1-0.9),
          IF(E111=1,0.9,1-0.9),
          IF(F111=1,0.9,1-0.9),
          IF(G111=1,0.9,1-0.9)) * M111</f>
        <v>0.0059049</v>
      </c>
      <c r="M111" s="2" t="n">
        <f aca="false">IF(C111=1,1,IF(AND(B111=1,A111=1,G111=1,D111=1),1,IF(AND(B111=1,A111=1,F111=1,D111=1,E111=1)
,1,0)))</f>
        <v>1</v>
      </c>
    </row>
    <row r="112" customFormat="false" ht="13.8" hidden="false" customHeight="false" outlineLevel="0" collapsed="false">
      <c r="A112" s="2" t="n">
        <v>1</v>
      </c>
      <c r="B112" s="2" t="n">
        <v>1</v>
      </c>
      <c r="C112" s="2" t="n">
        <v>0</v>
      </c>
      <c r="D112" s="2" t="n">
        <v>1</v>
      </c>
      <c r="E112" s="2" t="n">
        <v>1</v>
      </c>
      <c r="F112" s="2" t="n">
        <v>0</v>
      </c>
      <c r="G112" s="2" t="n">
        <v>0</v>
      </c>
      <c r="H112" s="1" t="n">
        <f aca="false"> ((($A112*$A$2)+(1-$A$2)*(1-$A112))* (($B112*$B$2)+(1-$B$2)*(1-$B112)) *(($C112*$C$2)+(1-
$C$2)*(1-$C112))* (($D112*$D$2)+(1-$D$2)*(1-$D112))* (($E112*$E$2)+(1-$E$2)*(1-$E112))*
(($F112*$F$2)+(1-$F$2)*(1-$F112))* (($G112*$G$2)+(1-$G$2)*(1-$G112)))*$M112</f>
        <v>0</v>
      </c>
      <c r="I112" s="6" t="n">
        <f aca="false">PRODUCT(IF(B112=1,0.6,1-0.6), IF(A112=1,0.6,1-0.6),
        IF(C112=1,0.6,1-0.6),
        IF(D112=1,0.6,1-0.6),
        IF(E112=1,0.6,1-0.6),
        IF(F112=1,0.6,1-0.6),
        IF(G112=1,0.6,1-0.6)) * M112</f>
        <v>0</v>
      </c>
      <c r="J112" s="6" t="n">
        <f aca="false">PRODUCT(IF(B112=1,0.7,1-0.7), IF(A112=1,0.7,1-0.7),
          IF(C112=1,0.7,1-0.7),
          IF(D112=1,0.7,1-0.7),
          IF(E112=1,0.7,1-0.7),
          IF(F112=1,0.7,1-0.7),
          IF(G112=1,0.7,1-0.7)) * M112</f>
        <v>0</v>
      </c>
      <c r="K112" s="6" t="n">
        <f aca="false">PRODUCT(IF(B112=1,0.8,1-0.8),IF(A112=1,0.8,1-0.8),
          IF(C112=1,0.8,1-0.8),
          IF(D112=1,0.8,1-0.8),
          IF(E112=1,0.8,1-0.8),
          IF(F112=1,0.8,1-0.8),
          IF(G112=1,0.8,1-0.8)) * M112</f>
        <v>0</v>
      </c>
      <c r="L112" s="6" t="n">
        <f aca="false">PRODUCT(IF(B112=1,0.9,1-0.9), IF(A112=1,0.9,1-0.9),
          IF(C112=1,0.9,1-0.9),
          IF(D112=1,0.9,1-0.9),
          IF(E112=1,0.9,1-0.9),
          IF(F112=1,0.9,1-0.9),
          IF(G112=1,0.9,1-0.9)) * M112</f>
        <v>0</v>
      </c>
      <c r="M112" s="2" t="n">
        <f aca="false">IF(C112=1,1,IF(AND(B112=1,A112=1,G112=1,D112=1),1,IF(AND(B112=1,A112=1,F112=1,D112=1,E112=1)
,1,0)))</f>
        <v>0</v>
      </c>
    </row>
    <row r="113" customFormat="false" ht="13.8" hidden="false" customHeight="false" outlineLevel="0" collapsed="false">
      <c r="A113" s="2" t="n">
        <v>1</v>
      </c>
      <c r="B113" s="2" t="n">
        <v>1</v>
      </c>
      <c r="C113" s="2" t="n">
        <v>0</v>
      </c>
      <c r="D113" s="2" t="n">
        <v>1</v>
      </c>
      <c r="E113" s="2" t="n">
        <v>1</v>
      </c>
      <c r="F113" s="2" t="n">
        <v>0</v>
      </c>
      <c r="G113" s="2" t="n">
        <v>1</v>
      </c>
      <c r="H113" s="1" t="n">
        <f aca="false"> ((($A113*$A$2)+(1-$A$2)*(1-$A113))* (($B113*$B$2)+(1-$B$2)*(1-$B113)) *(($C113*$C$2)+(1-
$C$2)*(1-$C113))* (($D113*$D$2)+(1-$D$2)*(1-$D113))* (($E113*$E$2)+(1-$E$2)*(1-$E113))*
(($F113*$F$2)+(1-$F$2)*(1-$F113))* (($G113*$G$2)+(1-$G$2)*(1-$G113)))*$M113</f>
        <v>0.021609</v>
      </c>
      <c r="I113" s="6" t="n">
        <f aca="false">PRODUCT(IF(B113=1,0.6,1-0.6), IF(A113=1,0.6,1-0.6),
        IF(C113=1,0.6,1-0.6),
        IF(D113=1,0.6,1-0.6),
        IF(E113=1,0.6,1-0.6),
        IF(F113=1,0.6,1-0.6),
        IF(G113=1,0.6,1-0.6)) * M113</f>
        <v>0.0124416</v>
      </c>
      <c r="J113" s="6" t="n">
        <f aca="false">PRODUCT(IF(B113=1,0.7,1-0.7), IF(A113=1,0.7,1-0.7),
          IF(C113=1,0.7,1-0.7),
          IF(D113=1,0.7,1-0.7),
          IF(E113=1,0.7,1-0.7),
          IF(F113=1,0.7,1-0.7),
          IF(G113=1,0.7,1-0.7)) * M113</f>
        <v>0.0151263</v>
      </c>
      <c r="K113" s="6" t="n">
        <f aca="false">PRODUCT(IF(B113=1,0.8,1-0.8),IF(A113=1,0.8,1-0.8),
          IF(C113=1,0.8,1-0.8),
          IF(D113=1,0.8,1-0.8),
          IF(E113=1,0.8,1-0.8),
          IF(F113=1,0.8,1-0.8),
          IF(G113=1,0.8,1-0.8)) * M113</f>
        <v>0.0131072</v>
      </c>
      <c r="L113" s="6" t="n">
        <f aca="false">PRODUCT(IF(B113=1,0.9,1-0.9), IF(A113=1,0.9,1-0.9),
          IF(C113=1,0.9,1-0.9),
          IF(D113=1,0.9,1-0.9),
          IF(E113=1,0.9,1-0.9),
          IF(F113=1,0.9,1-0.9),
          IF(G113=1,0.9,1-0.9)) * M113</f>
        <v>0.0059049</v>
      </c>
      <c r="M113" s="2" t="n">
        <f aca="false">IF(C113=1,1,IF(AND(B113=1,A113=1,G113=1,D113=1),1,IF(AND(B113=1,A113=1,F113=1,D113=1,E113=1)
,1,0)))</f>
        <v>1</v>
      </c>
    </row>
    <row r="114" customFormat="false" ht="13.8" hidden="false" customHeight="false" outlineLevel="0" collapsed="false">
      <c r="A114" s="2" t="n">
        <v>1</v>
      </c>
      <c r="B114" s="2" t="n">
        <v>1</v>
      </c>
      <c r="C114" s="2" t="n">
        <v>0</v>
      </c>
      <c r="D114" s="2" t="n">
        <v>1</v>
      </c>
      <c r="E114" s="2" t="n">
        <v>1</v>
      </c>
      <c r="F114" s="2" t="n">
        <v>1</v>
      </c>
      <c r="G114" s="2" t="n">
        <v>0</v>
      </c>
      <c r="H114" s="1" t="n">
        <f aca="false"> ((($A114*$A$2)+(1-$A$2)*(1-$A114))* (($B114*$B$2)+(1-$B$2)*(1-$B114)) *(($C114*$C$2)+(1-
$C$2)*(1-$C114))* (($D114*$D$2)+(1-$D$2)*(1-$D114))* (($E114*$E$2)+(1-$E$2)*(1-$E114))*
(($F114*$F$2)+(1-$F$2)*(1-$F114))* (($G114*$G$2)+(1-$G$2)*(1-$G114)))*$M114</f>
        <v>0</v>
      </c>
      <c r="I114" s="6" t="n">
        <f aca="false">PRODUCT(IF(B114=1,0.6,1-0.6), IF(A114=1,0.6,1-0.6),
        IF(C114=1,0.6,1-0.6),
        IF(D114=1,0.6,1-0.6),
        IF(E114=1,0.6,1-0.6),
        IF(F114=1,0.6,1-0.6),
        IF(G114=1,0.6,1-0.6)) * M114</f>
        <v>0.0124416</v>
      </c>
      <c r="J114" s="6" t="n">
        <f aca="false">PRODUCT(IF(B114=1,0.7,1-0.7), IF(A114=1,0.7,1-0.7),
          IF(C114=1,0.7,1-0.7),
          IF(D114=1,0.7,1-0.7),
          IF(E114=1,0.7,1-0.7),
          IF(F114=1,0.7,1-0.7),
          IF(G114=1,0.7,1-0.7)) * M114</f>
        <v>0.0151263</v>
      </c>
      <c r="K114" s="6" t="n">
        <f aca="false">PRODUCT(IF(B114=1,0.8,1-0.8),IF(A114=1,0.8,1-0.8),
          IF(C114=1,0.8,1-0.8),
          IF(D114=1,0.8,1-0.8),
          IF(E114=1,0.8,1-0.8),
          IF(F114=1,0.8,1-0.8),
          IF(G114=1,0.8,1-0.8)) * M114</f>
        <v>0.0131072</v>
      </c>
      <c r="L114" s="6" t="n">
        <f aca="false">PRODUCT(IF(B114=1,0.9,1-0.9), IF(A114=1,0.9,1-0.9),
          IF(C114=1,0.9,1-0.9),
          IF(D114=1,0.9,1-0.9),
          IF(E114=1,0.9,1-0.9),
          IF(F114=1,0.9,1-0.9),
          IF(G114=1,0.9,1-0.9)) * M114</f>
        <v>0.0059049</v>
      </c>
      <c r="M114" s="2" t="n">
        <f aca="false">IF(C114=1,1,IF(AND(B114=1,A114=1,G114=1,D114=1),1,IF(AND(B114=1,A114=1,F114=1,D114=1,E114=1)
,1,0)))</f>
        <v>1</v>
      </c>
    </row>
    <row r="115" customFormat="false" ht="13.8" hidden="false" customHeight="false" outlineLevel="0" collapsed="false">
      <c r="A115" s="2" t="n">
        <v>1</v>
      </c>
      <c r="B115" s="2" t="n">
        <v>1</v>
      </c>
      <c r="C115" s="2" t="n">
        <v>0</v>
      </c>
      <c r="D115" s="2" t="n">
        <v>1</v>
      </c>
      <c r="E115" s="2" t="n">
        <v>1</v>
      </c>
      <c r="F115" s="2" t="n">
        <v>1</v>
      </c>
      <c r="G115" s="2" t="n">
        <v>1</v>
      </c>
      <c r="H115" s="1" t="n">
        <f aca="false"> ((($A115*$A$2)+(1-$A$2)*(1-$A115))* (($B115*$B$2)+(1-$B$2)*(1-$B115)) *(($C115*$C$2)+(1-
$C$2)*(1-$C115))* (($D115*$D$2)+(1-$D$2)*(1-$D115))* (($E115*$E$2)+(1-$E$2)*(1-$E115))*
(($F115*$F$2)+(1-$F$2)*(1-$F115))* (($G115*$G$2)+(1-$G$2)*(1-$G115)))*$M115</f>
        <v>0.050421</v>
      </c>
      <c r="I115" s="6" t="n">
        <f aca="false">PRODUCT(IF(B115=1,0.6,1-0.6), IF(A115=1,0.6,1-0.6),
        IF(C115=1,0.6,1-0.6),
        IF(D115=1,0.6,1-0.6),
        IF(E115=1,0.6,1-0.6),
        IF(F115=1,0.6,1-0.6),
        IF(G115=1,0.6,1-0.6)) * M115</f>
        <v>0.0186624</v>
      </c>
      <c r="J115" s="6" t="n">
        <f aca="false">PRODUCT(IF(B115=1,0.7,1-0.7), IF(A115=1,0.7,1-0.7),
          IF(C115=1,0.7,1-0.7),
          IF(D115=1,0.7,1-0.7),
          IF(E115=1,0.7,1-0.7),
          IF(F115=1,0.7,1-0.7),
          IF(G115=1,0.7,1-0.7)) * M115</f>
        <v>0.0352947</v>
      </c>
      <c r="K115" s="6" t="n">
        <f aca="false">PRODUCT(IF(B115=1,0.8,1-0.8),IF(A115=1,0.8,1-0.8),
          IF(C115=1,0.8,1-0.8),
          IF(D115=1,0.8,1-0.8),
          IF(E115=1,0.8,1-0.8),
          IF(F115=1,0.8,1-0.8),
          IF(G115=1,0.8,1-0.8)) * M115</f>
        <v>0.0524288</v>
      </c>
      <c r="L115" s="6" t="n">
        <f aca="false">PRODUCT(IF(B115=1,0.9,1-0.9), IF(A115=1,0.9,1-0.9),
          IF(C115=1,0.9,1-0.9),
          IF(D115=1,0.9,1-0.9),
          IF(E115=1,0.9,1-0.9),
          IF(F115=1,0.9,1-0.9),
          IF(G115=1,0.9,1-0.9)) * M115</f>
        <v>0.0531441</v>
      </c>
      <c r="M115" s="2" t="n">
        <f aca="false">IF(C115=1,1,IF(AND(B115=1,A115=1,G115=1,D115=1),1,IF(AND(B115=1,A115=1,F115=1,D115=1,E115=1)
,1,0)))</f>
        <v>1</v>
      </c>
    </row>
    <row r="116" customFormat="false" ht="13.8" hidden="false" customHeight="false" outlineLevel="0" collapsed="false">
      <c r="A116" s="2" t="n">
        <v>1</v>
      </c>
      <c r="B116" s="2" t="n">
        <v>1</v>
      </c>
      <c r="C116" s="2" t="n">
        <v>1</v>
      </c>
      <c r="D116" s="2" t="n">
        <v>0</v>
      </c>
      <c r="E116" s="2" t="n">
        <v>0</v>
      </c>
      <c r="F116" s="2" t="n">
        <v>0</v>
      </c>
      <c r="G116" s="2" t="n">
        <v>0</v>
      </c>
      <c r="H116" s="1" t="n">
        <f aca="false"> ((($A116*$A$2)+(1-$A$2)*(1-$A116))* (($B116*$B$2)+(1-$B$2)*(1-$B116)) *(($C116*$C$2)+(1-
$C$2)*(1-$C116))* (($D116*$D$2)+(1-$D$2)*(1-$D116))* (($E116*$E$2)+(1-$E$2)*(1-$E116))*
(($F116*$F$2)+(1-$F$2)*(1-$F116))* (($G116*$G$2)+(1-$G$2)*(1-$G116)))*$M116</f>
        <v>0</v>
      </c>
      <c r="I116" s="6" t="n">
        <f aca="false">PRODUCT(IF(B116=1,0.6,1-0.6), IF(A116=1,0.6,1-0.6),
        IF(C116=1,0.6,1-0.6),
        IF(D116=1,0.6,1-0.6),
        IF(E116=1,0.6,1-0.6),
        IF(F116=1,0.6,1-0.6),
        IF(G116=1,0.6,1-0.6)) * M116</f>
        <v>0.0055296</v>
      </c>
      <c r="J116" s="6" t="n">
        <f aca="false">PRODUCT(IF(B116=1,0.7,1-0.7), IF(A116=1,0.7,1-0.7),
          IF(C116=1,0.7,1-0.7),
          IF(D116=1,0.7,1-0.7),
          IF(E116=1,0.7,1-0.7),
          IF(F116=1,0.7,1-0.7),
          IF(G116=1,0.7,1-0.7)) * M116</f>
        <v>0.0027783</v>
      </c>
      <c r="K116" s="6" t="n">
        <f aca="false">PRODUCT(IF(B116=1,0.8,1-0.8),IF(A116=1,0.8,1-0.8),
          IF(C116=1,0.8,1-0.8),
          IF(D116=1,0.8,1-0.8),
          IF(E116=1,0.8,1-0.8),
          IF(F116=1,0.8,1-0.8),
          IF(G116=1,0.8,1-0.8)) * M116</f>
        <v>0.0008192</v>
      </c>
      <c r="L116" s="6" t="n">
        <f aca="false">PRODUCT(IF(B116=1,0.9,1-0.9), IF(A116=1,0.9,1-0.9),
          IF(C116=1,0.9,1-0.9),
          IF(D116=1,0.9,1-0.9),
          IF(E116=1,0.9,1-0.9),
          IF(F116=1,0.9,1-0.9),
          IF(G116=1,0.9,1-0.9)) * M116</f>
        <v>7.28999999999999E-005</v>
      </c>
      <c r="M116" s="2" t="n">
        <f aca="false">IF(C116=1,1,IF(AND(B116=1,A116=1,G116=1,D116=1),1,IF(AND(B116=1,A116=1,F116=1,D116=1,E116=1)
,1,0)))</f>
        <v>1</v>
      </c>
    </row>
    <row r="117" customFormat="false" ht="13.8" hidden="false" customHeight="false" outlineLevel="0" collapsed="false">
      <c r="A117" s="2" t="n">
        <v>1</v>
      </c>
      <c r="B117" s="2" t="n">
        <v>1</v>
      </c>
      <c r="C117" s="2" t="n">
        <v>1</v>
      </c>
      <c r="D117" s="2" t="n">
        <v>0</v>
      </c>
      <c r="E117" s="2" t="n">
        <v>0</v>
      </c>
      <c r="F117" s="2" t="n">
        <v>0</v>
      </c>
      <c r="G117" s="2" t="n">
        <v>1</v>
      </c>
      <c r="H117" s="1" t="n">
        <f aca="false"> ((($A117*$A$2)+(1-$A$2)*(1-$A117))* (($B117*$B$2)+(1-$B$2)*(1-$B117)) *(($C117*$C$2)+(1-
$C$2)*(1-$C117))* (($D117*$D$2)+(1-$D$2)*(1-$D117))* (($E117*$E$2)+(1-$E$2)*(1-$E117))*
(($F117*$F$2)+(1-$F$2)*(1-$F117))* (($G117*$G$2)+(1-$G$2)*(1-$G117)))*$M117</f>
        <v>0.009261</v>
      </c>
      <c r="I117" s="6" t="n">
        <f aca="false">PRODUCT(IF(B117=1,0.6,1-0.6), IF(A117=1,0.6,1-0.6),
        IF(C117=1,0.6,1-0.6),
        IF(D117=1,0.6,1-0.6),
        IF(E117=1,0.6,1-0.6),
        IF(F117=1,0.6,1-0.6),
        IF(G117=1,0.6,1-0.6)) * M117</f>
        <v>0.0082944</v>
      </c>
      <c r="J117" s="6" t="n">
        <f aca="false">PRODUCT(IF(B117=1,0.7,1-0.7), IF(A117=1,0.7,1-0.7),
          IF(C117=1,0.7,1-0.7),
          IF(D117=1,0.7,1-0.7),
          IF(E117=1,0.7,1-0.7),
          IF(F117=1,0.7,1-0.7),
          IF(G117=1,0.7,1-0.7)) * M117</f>
        <v>0.0064827</v>
      </c>
      <c r="K117" s="6" t="n">
        <f aca="false">PRODUCT(IF(B117=1,0.8,1-0.8),IF(A117=1,0.8,1-0.8),
          IF(C117=1,0.8,1-0.8),
          IF(D117=1,0.8,1-0.8),
          IF(E117=1,0.8,1-0.8),
          IF(F117=1,0.8,1-0.8),
          IF(G117=1,0.8,1-0.8)) * M117</f>
        <v>0.0032768</v>
      </c>
      <c r="L117" s="6" t="n">
        <f aca="false">PRODUCT(IF(B117=1,0.9,1-0.9), IF(A117=1,0.9,1-0.9),
          IF(C117=1,0.9,1-0.9),
          IF(D117=1,0.9,1-0.9),
          IF(E117=1,0.9,1-0.9),
          IF(F117=1,0.9,1-0.9),
          IF(G117=1,0.9,1-0.9)) * M117</f>
        <v>0.0006561</v>
      </c>
      <c r="M117" s="2" t="n">
        <f aca="false">IF(C117=1,1,IF(AND(B117=1,A117=1,G117=1,D117=1),1,IF(AND(B117=1,A117=1,F117=1,D117=1,E117=1)
,1,0)))</f>
        <v>1</v>
      </c>
    </row>
    <row r="118" customFormat="false" ht="13.8" hidden="false" customHeight="false" outlineLevel="0" collapsed="false">
      <c r="A118" s="2" t="n">
        <v>1</v>
      </c>
      <c r="B118" s="2" t="n">
        <v>1</v>
      </c>
      <c r="C118" s="2" t="n">
        <v>1</v>
      </c>
      <c r="D118" s="2" t="n">
        <v>0</v>
      </c>
      <c r="E118" s="2" t="n">
        <v>0</v>
      </c>
      <c r="F118" s="2" t="n">
        <v>1</v>
      </c>
      <c r="G118" s="2" t="n">
        <v>0</v>
      </c>
      <c r="H118" s="1" t="n">
        <f aca="false"> ((($A118*$A$2)+(1-$A$2)*(1-$A118))* (($B118*$B$2)+(1-$B$2)*(1-$B118)) *(($C118*$C$2)+(1-
$C$2)*(1-$C118))* (($D118*$D$2)+(1-$D$2)*(1-$D118))* (($E118*$E$2)+(1-$E$2)*(1-$E118))*
(($F118*$F$2)+(1-$F$2)*(1-$F118))* (($G118*$G$2)+(1-$G$2)*(1-$G118)))*$M118</f>
        <v>0</v>
      </c>
      <c r="I118" s="6" t="n">
        <f aca="false">PRODUCT(IF(B118=1,0.6,1-0.6), IF(A118=1,0.6,1-0.6),
        IF(C118=1,0.6,1-0.6),
        IF(D118=1,0.6,1-0.6),
        IF(E118=1,0.6,1-0.6),
        IF(F118=1,0.6,1-0.6),
        IF(G118=1,0.6,1-0.6)) * M118</f>
        <v>0.0082944</v>
      </c>
      <c r="J118" s="6" t="n">
        <f aca="false">PRODUCT(IF(B118=1,0.7,1-0.7), IF(A118=1,0.7,1-0.7),
          IF(C118=1,0.7,1-0.7),
          IF(D118=1,0.7,1-0.7),
          IF(E118=1,0.7,1-0.7),
          IF(F118=1,0.7,1-0.7),
          IF(G118=1,0.7,1-0.7)) * M118</f>
        <v>0.0064827</v>
      </c>
      <c r="K118" s="6" t="n">
        <f aca="false">PRODUCT(IF(B118=1,0.8,1-0.8),IF(A118=1,0.8,1-0.8),
          IF(C118=1,0.8,1-0.8),
          IF(D118=1,0.8,1-0.8),
          IF(E118=1,0.8,1-0.8),
          IF(F118=1,0.8,1-0.8),
          IF(G118=1,0.8,1-0.8)) * M118</f>
        <v>0.0032768</v>
      </c>
      <c r="L118" s="6" t="n">
        <f aca="false">PRODUCT(IF(B118=1,0.9,1-0.9), IF(A118=1,0.9,1-0.9),
          IF(C118=1,0.9,1-0.9),
          IF(D118=1,0.9,1-0.9),
          IF(E118=1,0.9,1-0.9),
          IF(F118=1,0.9,1-0.9),
          IF(G118=1,0.9,1-0.9)) * M118</f>
        <v>0.0006561</v>
      </c>
      <c r="M118" s="2" t="n">
        <f aca="false">IF(C118=1,1,IF(AND(B118=1,A118=1,G118=1,D118=1),1,IF(AND(B118=1,A118=1,F118=1,D118=1,E118=1)
,1,0)))</f>
        <v>1</v>
      </c>
    </row>
    <row r="119" customFormat="false" ht="13.8" hidden="false" customHeight="false" outlineLevel="0" collapsed="false">
      <c r="A119" s="2" t="n">
        <v>1</v>
      </c>
      <c r="B119" s="2" t="n">
        <v>1</v>
      </c>
      <c r="C119" s="2" t="n">
        <v>1</v>
      </c>
      <c r="D119" s="2" t="n">
        <v>0</v>
      </c>
      <c r="E119" s="2" t="n">
        <v>0</v>
      </c>
      <c r="F119" s="2" t="n">
        <v>1</v>
      </c>
      <c r="G119" s="2" t="n">
        <v>1</v>
      </c>
      <c r="H119" s="1" t="n">
        <f aca="false"> ((($A119*$A$2)+(1-$A$2)*(1-$A119))* (($B119*$B$2)+(1-$B$2)*(1-$B119)) *(($C119*$C$2)+(1-
$C$2)*(1-$C119))* (($D119*$D$2)+(1-$D$2)*(1-$D119))* (($E119*$E$2)+(1-$E$2)*(1-$E119))*
(($F119*$F$2)+(1-$F$2)*(1-$F119))* (($G119*$G$2)+(1-$G$2)*(1-$G119)))*$M119</f>
        <v>0.021609</v>
      </c>
      <c r="I119" s="6" t="n">
        <f aca="false">PRODUCT(IF(B119=1,0.6,1-0.6), IF(A119=1,0.6,1-0.6),
        IF(C119=1,0.6,1-0.6),
        IF(D119=1,0.6,1-0.6),
        IF(E119=1,0.6,1-0.6),
        IF(F119=1,0.6,1-0.6),
        IF(G119=1,0.6,1-0.6)) * M119</f>
        <v>0.0124416</v>
      </c>
      <c r="J119" s="6" t="n">
        <f aca="false">PRODUCT(IF(B119=1,0.7,1-0.7), IF(A119=1,0.7,1-0.7),
          IF(C119=1,0.7,1-0.7),
          IF(D119=1,0.7,1-0.7),
          IF(E119=1,0.7,1-0.7),
          IF(F119=1,0.7,1-0.7),
          IF(G119=1,0.7,1-0.7)) * M119</f>
        <v>0.0151263</v>
      </c>
      <c r="K119" s="6" t="n">
        <f aca="false">PRODUCT(IF(B119=1,0.8,1-0.8),IF(A119=1,0.8,1-0.8),
          IF(C119=1,0.8,1-0.8),
          IF(D119=1,0.8,1-0.8),
          IF(E119=1,0.8,1-0.8),
          IF(F119=1,0.8,1-0.8),
          IF(G119=1,0.8,1-0.8)) * M119</f>
        <v>0.0131072</v>
      </c>
      <c r="L119" s="6" t="n">
        <f aca="false">PRODUCT(IF(B119=1,0.9,1-0.9), IF(A119=1,0.9,1-0.9),
          IF(C119=1,0.9,1-0.9),
          IF(D119=1,0.9,1-0.9),
          IF(E119=1,0.9,1-0.9),
          IF(F119=1,0.9,1-0.9),
          IF(G119=1,0.9,1-0.9)) * M119</f>
        <v>0.0059049</v>
      </c>
      <c r="M119" s="2" t="n">
        <f aca="false">IF(C119=1,1,IF(AND(B119=1,A119=1,G119=1,D119=1),1,IF(AND(B119=1,A119=1,F119=1,D119=1,E119=1)
,1,0)))</f>
        <v>1</v>
      </c>
    </row>
    <row r="120" customFormat="false" ht="13.8" hidden="false" customHeight="false" outlineLevel="0" collapsed="false">
      <c r="A120" s="2" t="n">
        <v>1</v>
      </c>
      <c r="B120" s="2" t="n">
        <v>1</v>
      </c>
      <c r="C120" s="2" t="n">
        <v>1</v>
      </c>
      <c r="D120" s="2" t="n">
        <v>0</v>
      </c>
      <c r="E120" s="2" t="n">
        <v>1</v>
      </c>
      <c r="F120" s="2" t="n">
        <v>0</v>
      </c>
      <c r="G120" s="2" t="n">
        <v>0</v>
      </c>
      <c r="H120" s="1" t="n">
        <f aca="false"> ((($A120*$A$2)+(1-$A$2)*(1-$A120))* (($B120*$B$2)+(1-$B$2)*(1-$B120)) *(($C120*$C$2)+(1-
$C$2)*(1-$C120))* (($D120*$D$2)+(1-$D$2)*(1-$D120))* (($E120*$E$2)+(1-$E$2)*(1-$E120))*
(($F120*$F$2)+(1-$F$2)*(1-$F120))* (($G120*$G$2)+(1-$G$2)*(1-$G120)))*$M120</f>
        <v>0</v>
      </c>
      <c r="I120" s="6" t="n">
        <f aca="false">PRODUCT(IF(B120=1,0.6,1-0.6), IF(A120=1,0.6,1-0.6),
        IF(C120=1,0.6,1-0.6),
        IF(D120=1,0.6,1-0.6),
        IF(E120=1,0.6,1-0.6),
        IF(F120=1,0.6,1-0.6),
        IF(G120=1,0.6,1-0.6)) * M120</f>
        <v>0.0082944</v>
      </c>
      <c r="J120" s="6" t="n">
        <f aca="false">PRODUCT(IF(B120=1,0.7,1-0.7), IF(A120=1,0.7,1-0.7),
          IF(C120=1,0.7,1-0.7),
          IF(D120=1,0.7,1-0.7),
          IF(E120=1,0.7,1-0.7),
          IF(F120=1,0.7,1-0.7),
          IF(G120=1,0.7,1-0.7)) * M120</f>
        <v>0.0064827</v>
      </c>
      <c r="K120" s="6" t="n">
        <f aca="false">PRODUCT(IF(B120=1,0.8,1-0.8),IF(A120=1,0.8,1-0.8),
          IF(C120=1,0.8,1-0.8),
          IF(D120=1,0.8,1-0.8),
          IF(E120=1,0.8,1-0.8),
          IF(F120=1,0.8,1-0.8),
          IF(G120=1,0.8,1-0.8)) * M120</f>
        <v>0.0032768</v>
      </c>
      <c r="L120" s="6" t="n">
        <f aca="false">PRODUCT(IF(B120=1,0.9,1-0.9), IF(A120=1,0.9,1-0.9),
          IF(C120=1,0.9,1-0.9),
          IF(D120=1,0.9,1-0.9),
          IF(E120=1,0.9,1-0.9),
          IF(F120=1,0.9,1-0.9),
          IF(G120=1,0.9,1-0.9)) * M120</f>
        <v>0.0006561</v>
      </c>
      <c r="M120" s="2" t="n">
        <f aca="false">IF(C120=1,1,IF(AND(B120=1,A120=1,G120=1,D120=1),1,IF(AND(B120=1,A120=1,F120=1,D120=1,E120=1)
,1,0)))</f>
        <v>1</v>
      </c>
    </row>
    <row r="121" customFormat="false" ht="13.8" hidden="false" customHeight="false" outlineLevel="0" collapsed="false">
      <c r="A121" s="2" t="n">
        <v>1</v>
      </c>
      <c r="B121" s="2" t="n">
        <v>1</v>
      </c>
      <c r="C121" s="2" t="n">
        <v>1</v>
      </c>
      <c r="D121" s="2" t="n">
        <v>0</v>
      </c>
      <c r="E121" s="2" t="n">
        <v>1</v>
      </c>
      <c r="F121" s="2" t="n">
        <v>0</v>
      </c>
      <c r="G121" s="2" t="n">
        <v>1</v>
      </c>
      <c r="H121" s="1" t="n">
        <f aca="false"> ((($A121*$A$2)+(1-$A$2)*(1-$A121))* (($B121*$B$2)+(1-$B$2)*(1-$B121)) *(($C121*$C$2)+(1-
$C$2)*(1-$C121))* (($D121*$D$2)+(1-$D$2)*(1-$D121))* (($E121*$E$2)+(1-$E$2)*(1-$E121))*
(($F121*$F$2)+(1-$F$2)*(1-$F121))* (($G121*$G$2)+(1-$G$2)*(1-$G121)))*$M121</f>
        <v>0.021609</v>
      </c>
      <c r="I121" s="6" t="n">
        <f aca="false">PRODUCT(IF(B121=1,0.6,1-0.6), IF(A121=1,0.6,1-0.6),
        IF(C121=1,0.6,1-0.6),
        IF(D121=1,0.6,1-0.6),
        IF(E121=1,0.6,1-0.6),
        IF(F121=1,0.6,1-0.6),
        IF(G121=1,0.6,1-0.6)) * M121</f>
        <v>0.0124416</v>
      </c>
      <c r="J121" s="6" t="n">
        <f aca="false">PRODUCT(IF(B121=1,0.7,1-0.7), IF(A121=1,0.7,1-0.7),
          IF(C121=1,0.7,1-0.7),
          IF(D121=1,0.7,1-0.7),
          IF(E121=1,0.7,1-0.7),
          IF(F121=1,0.7,1-0.7),
          IF(G121=1,0.7,1-0.7)) * M121</f>
        <v>0.0151263</v>
      </c>
      <c r="K121" s="6" t="n">
        <f aca="false">PRODUCT(IF(B121=1,0.8,1-0.8),IF(A121=1,0.8,1-0.8),
          IF(C121=1,0.8,1-0.8),
          IF(D121=1,0.8,1-0.8),
          IF(E121=1,0.8,1-0.8),
          IF(F121=1,0.8,1-0.8),
          IF(G121=1,0.8,1-0.8)) * M121</f>
        <v>0.0131072</v>
      </c>
      <c r="L121" s="6" t="n">
        <f aca="false">PRODUCT(IF(B121=1,0.9,1-0.9), IF(A121=1,0.9,1-0.9),
          IF(C121=1,0.9,1-0.9),
          IF(D121=1,0.9,1-0.9),
          IF(E121=1,0.9,1-0.9),
          IF(F121=1,0.9,1-0.9),
          IF(G121=1,0.9,1-0.9)) * M121</f>
        <v>0.0059049</v>
      </c>
      <c r="M121" s="2" t="n">
        <f aca="false">IF(C121=1,1,IF(AND(B121=1,A121=1,G121=1,D121=1),1,IF(AND(B121=1,A121=1,F121=1,D121=1,E121=1)
,1,0)))</f>
        <v>1</v>
      </c>
    </row>
    <row r="122" customFormat="false" ht="13.8" hidden="false" customHeight="false" outlineLevel="0" collapsed="false">
      <c r="A122" s="2" t="n">
        <v>1</v>
      </c>
      <c r="B122" s="2" t="n">
        <v>1</v>
      </c>
      <c r="C122" s="2" t="n">
        <v>1</v>
      </c>
      <c r="D122" s="2" t="n">
        <v>0</v>
      </c>
      <c r="E122" s="2" t="n">
        <v>1</v>
      </c>
      <c r="F122" s="2" t="n">
        <v>1</v>
      </c>
      <c r="G122" s="2" t="n">
        <v>0</v>
      </c>
      <c r="H122" s="1" t="n">
        <f aca="false"> ((($A122*$A$2)+(1-$A$2)*(1-$A122))* (($B122*$B$2)+(1-$B$2)*(1-$B122)) *(($C122*$C$2)+(1-
$C$2)*(1-$C122))* (($D122*$D$2)+(1-$D$2)*(1-$D122))* (($E122*$E$2)+(1-$E$2)*(1-$E122))*
(($F122*$F$2)+(1-$F$2)*(1-$F122))* (($G122*$G$2)+(1-$G$2)*(1-$G122)))*$M122</f>
        <v>0</v>
      </c>
      <c r="I122" s="6" t="n">
        <f aca="false">PRODUCT(IF(B122=1,0.6,1-0.6), IF(A122=1,0.6,1-0.6),
        IF(C122=1,0.6,1-0.6),
        IF(D122=1,0.6,1-0.6),
        IF(E122=1,0.6,1-0.6),
        IF(F122=1,0.6,1-0.6),
        IF(G122=1,0.6,1-0.6)) * M122</f>
        <v>0.0124416</v>
      </c>
      <c r="J122" s="6" t="n">
        <f aca="false">PRODUCT(IF(B122=1,0.7,1-0.7), IF(A122=1,0.7,1-0.7),
          IF(C122=1,0.7,1-0.7),
          IF(D122=1,0.7,1-0.7),
          IF(E122=1,0.7,1-0.7),
          IF(F122=1,0.7,1-0.7),
          IF(G122=1,0.7,1-0.7)) * M122</f>
        <v>0.0151263</v>
      </c>
      <c r="K122" s="6" t="n">
        <f aca="false">PRODUCT(IF(B122=1,0.8,1-0.8),IF(A122=1,0.8,1-0.8),
          IF(C122=1,0.8,1-0.8),
          IF(D122=1,0.8,1-0.8),
          IF(E122=1,0.8,1-0.8),
          IF(F122=1,0.8,1-0.8),
          IF(G122=1,0.8,1-0.8)) * M122</f>
        <v>0.0131072</v>
      </c>
      <c r="L122" s="6" t="n">
        <f aca="false">PRODUCT(IF(B122=1,0.9,1-0.9), IF(A122=1,0.9,1-0.9),
          IF(C122=1,0.9,1-0.9),
          IF(D122=1,0.9,1-0.9),
          IF(E122=1,0.9,1-0.9),
          IF(F122=1,0.9,1-0.9),
          IF(G122=1,0.9,1-0.9)) * M122</f>
        <v>0.0059049</v>
      </c>
      <c r="M122" s="2" t="n">
        <f aca="false">IF(C122=1,1,IF(AND(B122=1,A122=1,G122=1,D122=1),1,IF(AND(B122=1,A122=1,F122=1,D122=1,E122=1)
,1,0)))</f>
        <v>1</v>
      </c>
    </row>
    <row r="123" customFormat="false" ht="13.8" hidden="false" customHeight="false" outlineLevel="0" collapsed="false">
      <c r="A123" s="2" t="n">
        <v>1</v>
      </c>
      <c r="B123" s="2" t="n">
        <v>1</v>
      </c>
      <c r="C123" s="2" t="n">
        <v>1</v>
      </c>
      <c r="D123" s="2" t="n">
        <v>0</v>
      </c>
      <c r="E123" s="2" t="n">
        <v>1</v>
      </c>
      <c r="F123" s="2" t="n">
        <v>1</v>
      </c>
      <c r="G123" s="2" t="n">
        <v>1</v>
      </c>
      <c r="H123" s="1" t="n">
        <f aca="false"> ((($A123*$A$2)+(1-$A$2)*(1-$A123))* (($B123*$B$2)+(1-$B$2)*(1-$B123)) *(($C123*$C$2)+(1-
$C$2)*(1-$C123))* (($D123*$D$2)+(1-$D$2)*(1-$D123))* (($E123*$E$2)+(1-$E$2)*(1-$E123))*
(($F123*$F$2)+(1-$F$2)*(1-$F123))* (($G123*$G$2)+(1-$G$2)*(1-$G123)))*$M123</f>
        <v>0.050421</v>
      </c>
      <c r="I123" s="6" t="n">
        <f aca="false">PRODUCT(IF(B123=1,0.6,1-0.6), IF(A123=1,0.6,1-0.6),
        IF(C123=1,0.6,1-0.6),
        IF(D123=1,0.6,1-0.6),
        IF(E123=1,0.6,1-0.6),
        IF(F123=1,0.6,1-0.6),
        IF(G123=1,0.6,1-0.6)) * M123</f>
        <v>0.0186624</v>
      </c>
      <c r="J123" s="6" t="n">
        <f aca="false">PRODUCT(IF(B123=1,0.7,1-0.7), IF(A123=1,0.7,1-0.7),
          IF(C123=1,0.7,1-0.7),
          IF(D123=1,0.7,1-0.7),
          IF(E123=1,0.7,1-0.7),
          IF(F123=1,0.7,1-0.7),
          IF(G123=1,0.7,1-0.7)) * M123</f>
        <v>0.0352947</v>
      </c>
      <c r="K123" s="6" t="n">
        <f aca="false">PRODUCT(IF(B123=1,0.8,1-0.8),IF(A123=1,0.8,1-0.8),
          IF(C123=1,0.8,1-0.8),
          IF(D123=1,0.8,1-0.8),
          IF(E123=1,0.8,1-0.8),
          IF(F123=1,0.8,1-0.8),
          IF(G123=1,0.8,1-0.8)) * M123</f>
        <v>0.0524288</v>
      </c>
      <c r="L123" s="6" t="n">
        <f aca="false">PRODUCT(IF(B123=1,0.9,1-0.9), IF(A123=1,0.9,1-0.9),
          IF(C123=1,0.9,1-0.9),
          IF(D123=1,0.9,1-0.9),
          IF(E123=1,0.9,1-0.9),
          IF(F123=1,0.9,1-0.9),
          IF(G123=1,0.9,1-0.9)) * M123</f>
        <v>0.0531441</v>
      </c>
      <c r="M123" s="2" t="n">
        <f aca="false">IF(C123=1,1,IF(AND(B123=1,A123=1,G123=1,D123=1),1,IF(AND(B123=1,A123=1,F123=1,D123=1,E123=1)
,1,0)))</f>
        <v>1</v>
      </c>
    </row>
    <row r="124" customFormat="false" ht="13.8" hidden="false" customHeight="false" outlineLevel="0" collapsed="false">
      <c r="A124" s="2" t="n">
        <v>1</v>
      </c>
      <c r="B124" s="2" t="n">
        <v>1</v>
      </c>
      <c r="C124" s="2" t="n">
        <v>1</v>
      </c>
      <c r="D124" s="2" t="n">
        <v>1</v>
      </c>
      <c r="E124" s="2" t="n">
        <v>0</v>
      </c>
      <c r="F124" s="2" t="n">
        <v>0</v>
      </c>
      <c r="G124" s="2" t="n">
        <v>0</v>
      </c>
      <c r="H124" s="1" t="n">
        <f aca="false"> ((($A124*$A$2)+(1-$A$2)*(1-$A124))* (($B124*$B$2)+(1-$B$2)*(1-$B124)) *(($C124*$C$2)+(1-
$C$2)*(1-$C124))* (($D124*$D$2)+(1-$D$2)*(1-$D124))* (($E124*$E$2)+(1-$E$2)*(1-$E124))*
(($F124*$F$2)+(1-$F$2)*(1-$F124))* (($G124*$G$2)+(1-$G$2)*(1-$G124)))*$M124</f>
        <v>0</v>
      </c>
      <c r="I124" s="6" t="n">
        <f aca="false">PRODUCT(IF(B124=1,0.6,1-0.6), IF(A124=1,0.6,1-0.6),
        IF(C124=1,0.6,1-0.6),
        IF(D124=1,0.6,1-0.6),
        IF(E124=1,0.6,1-0.6),
        IF(F124=1,0.6,1-0.6),
        IF(G124=1,0.6,1-0.6)) * M124</f>
        <v>0.0082944</v>
      </c>
      <c r="J124" s="6" t="n">
        <f aca="false">PRODUCT(IF(B124=1,0.7,1-0.7), IF(A124=1,0.7,1-0.7),
          IF(C124=1,0.7,1-0.7),
          IF(D124=1,0.7,1-0.7),
          IF(E124=1,0.7,1-0.7),
          IF(F124=1,0.7,1-0.7),
          IF(G124=1,0.7,1-0.7)) * M124</f>
        <v>0.0064827</v>
      </c>
      <c r="K124" s="6" t="n">
        <f aca="false">PRODUCT(IF(B124=1,0.8,1-0.8),IF(A124=1,0.8,1-0.8),
          IF(C124=1,0.8,1-0.8),
          IF(D124=1,0.8,1-0.8),
          IF(E124=1,0.8,1-0.8),
          IF(F124=1,0.8,1-0.8),
          IF(G124=1,0.8,1-0.8)) * M124</f>
        <v>0.0032768</v>
      </c>
      <c r="L124" s="6" t="n">
        <f aca="false">PRODUCT(IF(B124=1,0.9,1-0.9), IF(A124=1,0.9,1-0.9),
          IF(C124=1,0.9,1-0.9),
          IF(D124=1,0.9,1-0.9),
          IF(E124=1,0.9,1-0.9),
          IF(F124=1,0.9,1-0.9),
          IF(G124=1,0.9,1-0.9)) * M124</f>
        <v>0.0006561</v>
      </c>
      <c r="M124" s="2" t="n">
        <f aca="false">IF(C124=1,1,IF(AND(B124=1,A124=1,G124=1,D124=1),1,IF(AND(B124=1,A124=1,F124=1,D124=1,E124=1)
,1,0)))</f>
        <v>1</v>
      </c>
    </row>
    <row r="125" customFormat="false" ht="13.8" hidden="false" customHeight="false" outlineLevel="0" collapsed="false">
      <c r="A125" s="2" t="n">
        <v>1</v>
      </c>
      <c r="B125" s="2" t="n">
        <v>1</v>
      </c>
      <c r="C125" s="2" t="n">
        <v>1</v>
      </c>
      <c r="D125" s="2" t="n">
        <v>1</v>
      </c>
      <c r="E125" s="2" t="n">
        <v>0</v>
      </c>
      <c r="F125" s="2" t="n">
        <v>0</v>
      </c>
      <c r="G125" s="2" t="n">
        <v>1</v>
      </c>
      <c r="H125" s="1" t="n">
        <f aca="false"> ((($A125*$A$2)+(1-$A$2)*(1-$A125))* (($B125*$B$2)+(1-$B$2)*(1-$B125)) *(($C125*$C$2)+(1-
$C$2)*(1-$C125))* (($D125*$D$2)+(1-$D$2)*(1-$D125))* (($E125*$E$2)+(1-$E$2)*(1-$E125))*
(($F125*$F$2)+(1-$F$2)*(1-$F125))* (($G125*$G$2)+(1-$G$2)*(1-$G125)))*$M125</f>
        <v>0.021609</v>
      </c>
      <c r="I125" s="6" t="n">
        <f aca="false">PRODUCT(IF(B125=1,0.6,1-0.6), IF(A125=1,0.6,1-0.6),
        IF(C125=1,0.6,1-0.6),
        IF(D125=1,0.6,1-0.6),
        IF(E125=1,0.6,1-0.6),
        IF(F125=1,0.6,1-0.6),
        IF(G125=1,0.6,1-0.6)) * M125</f>
        <v>0.0124416</v>
      </c>
      <c r="J125" s="6" t="n">
        <f aca="false">PRODUCT(IF(B125=1,0.7,1-0.7), IF(A125=1,0.7,1-0.7),
          IF(C125=1,0.7,1-0.7),
          IF(D125=1,0.7,1-0.7),
          IF(E125=1,0.7,1-0.7),
          IF(F125=1,0.7,1-0.7),
          IF(G125=1,0.7,1-0.7)) * M125</f>
        <v>0.0151263</v>
      </c>
      <c r="K125" s="6" t="n">
        <f aca="false">PRODUCT(IF(B125=1,0.8,1-0.8),IF(A125=1,0.8,1-0.8),
          IF(C125=1,0.8,1-0.8),
          IF(D125=1,0.8,1-0.8),
          IF(E125=1,0.8,1-0.8),
          IF(F125=1,0.8,1-0.8),
          IF(G125=1,0.8,1-0.8)) * M125</f>
        <v>0.0131072</v>
      </c>
      <c r="L125" s="6" t="n">
        <f aca="false">PRODUCT(IF(B125=1,0.9,1-0.9), IF(A125=1,0.9,1-0.9),
          IF(C125=1,0.9,1-0.9),
          IF(D125=1,0.9,1-0.9),
          IF(E125=1,0.9,1-0.9),
          IF(F125=1,0.9,1-0.9),
          IF(G125=1,0.9,1-0.9)) * M125</f>
        <v>0.0059049</v>
      </c>
      <c r="M125" s="2" t="n">
        <f aca="false">IF(C125=1,1,IF(AND(B125=1,A125=1,G125=1,D125=1),1,IF(AND(B125=1,A125=1,F125=1,D125=1,E125=1)
,1,0)))</f>
        <v>1</v>
      </c>
    </row>
    <row r="126" customFormat="false" ht="13.8" hidden="false" customHeight="false" outlineLevel="0" collapsed="false">
      <c r="A126" s="2" t="n">
        <v>1</v>
      </c>
      <c r="B126" s="2" t="n">
        <v>1</v>
      </c>
      <c r="C126" s="2" t="n">
        <v>1</v>
      </c>
      <c r="D126" s="2" t="n">
        <v>1</v>
      </c>
      <c r="E126" s="2" t="n">
        <v>0</v>
      </c>
      <c r="F126" s="2" t="n">
        <v>1</v>
      </c>
      <c r="G126" s="2" t="n">
        <v>0</v>
      </c>
      <c r="H126" s="1" t="n">
        <f aca="false"> ((($A126*$A$2)+(1-$A$2)*(1-$A126))* (($B126*$B$2)+(1-$B$2)*(1-$B126)) *(($C126*$C$2)+(1-
$C$2)*(1-$C126))* (($D126*$D$2)+(1-$D$2)*(1-$D126))* (($E126*$E$2)+(1-$E$2)*(1-$E126))*
(($F126*$F$2)+(1-$F$2)*(1-$F126))* (($G126*$G$2)+(1-$G$2)*(1-$G126)))*$M126</f>
        <v>0</v>
      </c>
      <c r="I126" s="6" t="n">
        <f aca="false">PRODUCT(IF(B126=1,0.6,1-0.6), IF(A126=1,0.6,1-0.6),
        IF(C126=1,0.6,1-0.6),
        IF(D126=1,0.6,1-0.6),
        IF(E126=1,0.6,1-0.6),
        IF(F126=1,0.6,1-0.6),
        IF(G126=1,0.6,1-0.6)) * M126</f>
        <v>0.0124416</v>
      </c>
      <c r="J126" s="6" t="n">
        <f aca="false">PRODUCT(IF(B126=1,0.7,1-0.7), IF(A126=1,0.7,1-0.7),
          IF(C126=1,0.7,1-0.7),
          IF(D126=1,0.7,1-0.7),
          IF(E126=1,0.7,1-0.7),
          IF(F126=1,0.7,1-0.7),
          IF(G126=1,0.7,1-0.7)) * M126</f>
        <v>0.0151263</v>
      </c>
      <c r="K126" s="6" t="n">
        <f aca="false">PRODUCT(IF(B126=1,0.8,1-0.8),IF(A126=1,0.8,1-0.8),
          IF(C126=1,0.8,1-0.8),
          IF(D126=1,0.8,1-0.8),
          IF(E126=1,0.8,1-0.8),
          IF(F126=1,0.8,1-0.8),
          IF(G126=1,0.8,1-0.8)) * M126</f>
        <v>0.0131072</v>
      </c>
      <c r="L126" s="6" t="n">
        <f aca="false">PRODUCT(IF(B126=1,0.9,1-0.9), IF(A126=1,0.9,1-0.9),
          IF(C126=1,0.9,1-0.9),
          IF(D126=1,0.9,1-0.9),
          IF(E126=1,0.9,1-0.9),
          IF(F126=1,0.9,1-0.9),
          IF(G126=1,0.9,1-0.9)) * M126</f>
        <v>0.0059049</v>
      </c>
      <c r="M126" s="2" t="n">
        <f aca="false">IF(C126=1,1,IF(AND(B126=1,A126=1,G126=1,D126=1),1,IF(AND(B126=1,A126=1,F126=1,D126=1,E126=1)
,1,0)))</f>
        <v>1</v>
      </c>
    </row>
    <row r="127" customFormat="false" ht="13.8" hidden="false" customHeight="false" outlineLevel="0" collapsed="false">
      <c r="A127" s="2" t="n">
        <v>1</v>
      </c>
      <c r="B127" s="2" t="n">
        <v>1</v>
      </c>
      <c r="C127" s="2" t="n">
        <v>1</v>
      </c>
      <c r="D127" s="2" t="n">
        <v>1</v>
      </c>
      <c r="E127" s="2" t="n">
        <v>0</v>
      </c>
      <c r="F127" s="2" t="n">
        <v>1</v>
      </c>
      <c r="G127" s="2" t="n">
        <v>1</v>
      </c>
      <c r="H127" s="1" t="n">
        <f aca="false"> ((($A127*$A$2)+(1-$A$2)*(1-$A127))* (($B127*$B$2)+(1-$B$2)*(1-$B127)) *(($C127*$C$2)+(1-
$C$2)*(1-$C127))* (($D127*$D$2)+(1-$D$2)*(1-$D127))* (($E127*$E$2)+(1-$E$2)*(1-$E127))*
(($F127*$F$2)+(1-$F$2)*(1-$F127))* (($G127*$G$2)+(1-$G$2)*(1-$G127)))*$M127</f>
        <v>0.050421</v>
      </c>
      <c r="I127" s="6" t="n">
        <f aca="false">PRODUCT(IF(B127=1,0.6,1-0.6), IF(A127=1,0.6,1-0.6),
        IF(C127=1,0.6,1-0.6),
        IF(D127=1,0.6,1-0.6),
        IF(E127=1,0.6,1-0.6),
        IF(F127=1,0.6,1-0.6),
        IF(G127=1,0.6,1-0.6)) * M127</f>
        <v>0.0186624</v>
      </c>
      <c r="J127" s="6" t="n">
        <f aca="false">PRODUCT(IF(B127=1,0.7,1-0.7), IF(A127=1,0.7,1-0.7),
          IF(C127=1,0.7,1-0.7),
          IF(D127=1,0.7,1-0.7),
          IF(E127=1,0.7,1-0.7),
          IF(F127=1,0.7,1-0.7),
          IF(G127=1,0.7,1-0.7)) * M127</f>
        <v>0.0352947</v>
      </c>
      <c r="K127" s="6" t="n">
        <f aca="false">PRODUCT(IF(B127=1,0.8,1-0.8),IF(A127=1,0.8,1-0.8),
          IF(C127=1,0.8,1-0.8),
          IF(D127=1,0.8,1-0.8),
          IF(E127=1,0.8,1-0.8),
          IF(F127=1,0.8,1-0.8),
          IF(G127=1,0.8,1-0.8)) * M127</f>
        <v>0.0524288</v>
      </c>
      <c r="L127" s="6" t="n">
        <f aca="false">PRODUCT(IF(B127=1,0.9,1-0.9), IF(A127=1,0.9,1-0.9),
          IF(C127=1,0.9,1-0.9),
          IF(D127=1,0.9,1-0.9),
          IF(E127=1,0.9,1-0.9),
          IF(F127=1,0.9,1-0.9),
          IF(G127=1,0.9,1-0.9)) * M127</f>
        <v>0.0531441</v>
      </c>
      <c r="M127" s="2" t="n">
        <f aca="false">IF(C127=1,1,IF(AND(B127=1,A127=1,G127=1,D127=1),1,IF(AND(B127=1,A127=1,F127=1,D127=1,E127=1)
,1,0)))</f>
        <v>1</v>
      </c>
    </row>
    <row r="128" customFormat="false" ht="13.8" hidden="false" customHeight="false" outlineLevel="0" collapsed="false">
      <c r="A128" s="2" t="n">
        <v>1</v>
      </c>
      <c r="B128" s="2" t="n">
        <v>1</v>
      </c>
      <c r="C128" s="2" t="n">
        <v>1</v>
      </c>
      <c r="D128" s="2" t="n">
        <v>1</v>
      </c>
      <c r="E128" s="2" t="n">
        <v>1</v>
      </c>
      <c r="F128" s="2" t="n">
        <v>0</v>
      </c>
      <c r="G128" s="2" t="n">
        <v>0</v>
      </c>
      <c r="H128" s="1" t="n">
        <f aca="false"> ((($A128*$A$2)+(1-$A$2)*(1-$A128))* (($B128*$B$2)+(1-$B$2)*(1-$B128)) *(($C128*$C$2)+(1-
$C$2)*(1-$C128))* (($D128*$D$2)+(1-$D$2)*(1-$D128))* (($E128*$E$2)+(1-$E$2)*(1-$E128))*
(($F128*$F$2)+(1-$F$2)*(1-$F128))* (($G128*$G$2)+(1-$G$2)*(1-$G128)))*$M128</f>
        <v>0</v>
      </c>
      <c r="I128" s="6" t="n">
        <f aca="false">PRODUCT(IF(B128=1,0.6,1-0.6), IF(A128=1,0.6,1-0.6),
        IF(C128=1,0.6,1-0.6),
        IF(D128=1,0.6,1-0.6),
        IF(E128=1,0.6,1-0.6),
        IF(F128=1,0.6,1-0.6),
        IF(G128=1,0.6,1-0.6)) * M128</f>
        <v>0.0124416</v>
      </c>
      <c r="J128" s="6" t="n">
        <f aca="false">PRODUCT(IF(B128=1,0.7,1-0.7), IF(A128=1,0.7,1-0.7),
          IF(C128=1,0.7,1-0.7),
          IF(D128=1,0.7,1-0.7),
          IF(E128=1,0.7,1-0.7),
          IF(F128=1,0.7,1-0.7),
          IF(G128=1,0.7,1-0.7)) * M128</f>
        <v>0.0151263</v>
      </c>
      <c r="K128" s="6" t="n">
        <f aca="false">PRODUCT(IF(B128=1,0.8,1-0.8),IF(A128=1,0.8,1-0.8),
          IF(C128=1,0.8,1-0.8),
          IF(D128=1,0.8,1-0.8),
          IF(E128=1,0.8,1-0.8),
          IF(F128=1,0.8,1-0.8),
          IF(G128=1,0.8,1-0.8)) * M128</f>
        <v>0.0131072</v>
      </c>
      <c r="L128" s="6" t="n">
        <f aca="false">PRODUCT(IF(B128=1,0.9,1-0.9), IF(A128=1,0.9,1-0.9),
          IF(C128=1,0.9,1-0.9),
          IF(D128=1,0.9,1-0.9),
          IF(E128=1,0.9,1-0.9),
          IF(F128=1,0.9,1-0.9),
          IF(G128=1,0.9,1-0.9)) * M128</f>
        <v>0.0059049</v>
      </c>
      <c r="M128" s="2" t="n">
        <f aca="false">IF(C128=1,1,IF(AND(B128=1,A128=1,G128=1,D128=1),1,IF(AND(B128=1,A128=1,F128=1,D128=1,E128=1)
,1,0)))</f>
        <v>1</v>
      </c>
    </row>
    <row r="129" customFormat="false" ht="13.8" hidden="false" customHeight="false" outlineLevel="0" collapsed="false">
      <c r="A129" s="2" t="n">
        <v>1</v>
      </c>
      <c r="B129" s="2" t="n">
        <v>1</v>
      </c>
      <c r="C129" s="2" t="n">
        <v>1</v>
      </c>
      <c r="D129" s="2" t="n">
        <v>1</v>
      </c>
      <c r="E129" s="2" t="n">
        <v>1</v>
      </c>
      <c r="F129" s="2" t="n">
        <v>0</v>
      </c>
      <c r="G129" s="2" t="n">
        <v>1</v>
      </c>
      <c r="H129" s="1" t="n">
        <f aca="false"> ((($A129*$A$2)+(1-$A$2)*(1-$A129))* (($B129*$B$2)+(1-$B$2)*(1-$B129)) *(($C129*$C$2)+(1-
$C$2)*(1-$C129))* (($D129*$D$2)+(1-$D$2)*(1-$D129))* (($E129*$E$2)+(1-$E$2)*(1-$E129))*
(($F129*$F$2)+(1-$F$2)*(1-$F129))* (($G129*$G$2)+(1-$G$2)*(1-$G129)))*$M129</f>
        <v>0.050421</v>
      </c>
      <c r="I129" s="6" t="n">
        <f aca="false">PRODUCT(IF(B129=1,0.6,1-0.6), IF(A129=1,0.6,1-0.6),
        IF(C129=1,0.6,1-0.6),
        IF(D129=1,0.6,1-0.6),
        IF(E129=1,0.6,1-0.6),
        IF(F129=1,0.6,1-0.6),
        IF(G129=1,0.6,1-0.6)) * M129</f>
        <v>0.0186624</v>
      </c>
      <c r="J129" s="6" t="n">
        <f aca="false">PRODUCT(IF(B129=1,0.7,1-0.7), IF(A129=1,0.7,1-0.7),
          IF(C129=1,0.7,1-0.7),
          IF(D129=1,0.7,1-0.7),
          IF(E129=1,0.7,1-0.7),
          IF(F129=1,0.7,1-0.7),
          IF(G129=1,0.7,1-0.7)) * M129</f>
        <v>0.0352947</v>
      </c>
      <c r="K129" s="6" t="n">
        <f aca="false">PRODUCT(IF(B129=1,0.8,1-0.8),IF(A129=1,0.8,1-0.8),
          IF(C129=1,0.8,1-0.8),
          IF(D129=1,0.8,1-0.8),
          IF(E129=1,0.8,1-0.8),
          IF(F129=1,0.8,1-0.8),
          IF(G129=1,0.8,1-0.8)) * M129</f>
        <v>0.0524288</v>
      </c>
      <c r="L129" s="6" t="n">
        <f aca="false">PRODUCT(IF(B129=1,0.9,1-0.9), IF(A129=1,0.9,1-0.9),
          IF(C129=1,0.9,1-0.9),
          IF(D129=1,0.9,1-0.9),
          IF(E129=1,0.9,1-0.9),
          IF(F129=1,0.9,1-0.9),
          IF(G129=1,0.9,1-0.9)) * M129</f>
        <v>0.0531441</v>
      </c>
      <c r="M129" s="2" t="n">
        <f aca="false">IF(C129=1,1,IF(AND(B129=1,A129=1,G129=1,D129=1),1,IF(AND(B129=1,A129=1,F129=1,D129=1,E129=1)
,1,0)))</f>
        <v>1</v>
      </c>
    </row>
    <row r="130" customFormat="false" ht="13.8" hidden="false" customHeight="false" outlineLevel="0" collapsed="false">
      <c r="A130" s="2" t="n">
        <v>1</v>
      </c>
      <c r="B130" s="2" t="n">
        <v>1</v>
      </c>
      <c r="C130" s="2" t="n">
        <v>1</v>
      </c>
      <c r="D130" s="2" t="n">
        <v>1</v>
      </c>
      <c r="E130" s="2" t="n">
        <v>1</v>
      </c>
      <c r="F130" s="2" t="n">
        <v>1</v>
      </c>
      <c r="G130" s="2" t="n">
        <v>0</v>
      </c>
      <c r="H130" s="1" t="n">
        <f aca="false"> ((($A130*$A$2)+(1-$A$2)*(1-$A130))* (($B130*$B$2)+(1-$B$2)*(1-$B130)) *(($C130*$C$2)+(1-
$C$2)*(1-$C130))* (($D130*$D$2)+(1-$D$2)*(1-$D130))* (($E130*$E$2)+(1-$E$2)*(1-$E130))*
(($F130*$F$2)+(1-$F$2)*(1-$F130))* (($G130*$G$2)+(1-$G$2)*(1-$G130)))*$M130</f>
        <v>0</v>
      </c>
      <c r="I130" s="6" t="n">
        <f aca="false">PRODUCT(IF(B130=1,0.6,1-0.6), IF(A130=1,0.6,1-0.6),
        IF(C130=1,0.6,1-0.6),
        IF(D130=1,0.6,1-0.6),
        IF(E130=1,0.6,1-0.6),
        IF(F130=1,0.6,1-0.6),
        IF(G130=1,0.6,1-0.6)) * M130</f>
        <v>0.0186624</v>
      </c>
      <c r="J130" s="6" t="n">
        <f aca="false">PRODUCT(IF(B130=1,0.7,1-0.7), IF(A130=1,0.7,1-0.7),
          IF(C130=1,0.7,1-0.7),
          IF(D130=1,0.7,1-0.7),
          IF(E130=1,0.7,1-0.7),
          IF(F130=1,0.7,1-0.7),
          IF(G130=1,0.7,1-0.7)) * M130</f>
        <v>0.0352947</v>
      </c>
      <c r="K130" s="6" t="n">
        <f aca="false">PRODUCT(IF(B130=1,0.8,1-0.8),IF(A130=1,0.8,1-0.8),
          IF(C130=1,0.8,1-0.8),
          IF(D130=1,0.8,1-0.8),
          IF(E130=1,0.8,1-0.8),
          IF(F130=1,0.8,1-0.8),
          IF(G130=1,0.8,1-0.8)) * M130</f>
        <v>0.0524288</v>
      </c>
      <c r="L130" s="6" t="n">
        <f aca="false">PRODUCT(IF(B130=1,0.9,1-0.9), IF(A130=1,0.9,1-0.9),
          IF(C130=1,0.9,1-0.9),
          IF(D130=1,0.9,1-0.9),
          IF(E130=1,0.9,1-0.9),
          IF(F130=1,0.9,1-0.9),
          IF(G130=1,0.9,1-0.9)) * M130</f>
        <v>0.0531441</v>
      </c>
      <c r="M130" s="2" t="n">
        <f aca="false">IF(C130=1,1,IF(AND(B130=1,A130=1,G130=1,D130=1),1,IF(AND(B130=1,A130=1,F130=1,D130=1,E130=1)
,1,0)))</f>
        <v>1</v>
      </c>
    </row>
    <row r="131" customFormat="false" ht="13.8" hidden="false" customHeight="false" outlineLevel="0" collapsed="false">
      <c r="A131" s="2" t="n">
        <v>1</v>
      </c>
      <c r="B131" s="2" t="n">
        <v>1</v>
      </c>
      <c r="C131" s="2" t="n">
        <v>1</v>
      </c>
      <c r="D131" s="2" t="n">
        <v>1</v>
      </c>
      <c r="E131" s="2" t="n">
        <v>1</v>
      </c>
      <c r="F131" s="2" t="n">
        <v>1</v>
      </c>
      <c r="G131" s="2" t="n">
        <v>1</v>
      </c>
      <c r="H131" s="1" t="n">
        <f aca="false"> ((($A131*$A$2)+(1-$A$2)*(1-$A131))* (($B131*$B$2)+(1-$B$2)*(1-$B131)) *(($C131*$C$2)+(1-
$C$2)*(1-$C131))* (($D131*$D$2)+(1-$D$2)*(1-$D131))* (($E131*$E$2)+(1-$E$2)*(1-$E131))*
(($F131*$F$2)+(1-$F$2)*(1-$F131))* (($G131*$G$2)+(1-$G$2)*(1-$G131)))*$M131</f>
        <v>0.117649</v>
      </c>
      <c r="I131" s="6" t="n">
        <f aca="false">PRODUCT(IF(B131=1,0.6,1-0.6), IF(A131=1,0.6,1-0.6),
        IF(C131=1,0.6,1-0.6),
        IF(D131=1,0.6,1-0.6),
        IF(E131=1,0.6,1-0.6),
        IF(F131=1,0.6,1-0.6),
        IF(G131=1,0.6,1-0.6)) * M131</f>
        <v>0.0279936</v>
      </c>
      <c r="J131" s="6" t="n">
        <f aca="false">PRODUCT(IF(B131=1,0.7,1-0.7), IF(A131=1,0.7,1-0.7),
          IF(C131=1,0.7,1-0.7),
          IF(D131=1,0.7,1-0.7),
          IF(E131=1,0.7,1-0.7),
          IF(F131=1,0.7,1-0.7),
          IF(G131=1,0.7,1-0.7)) * M131</f>
        <v>0.0823543</v>
      </c>
      <c r="K131" s="6" t="n">
        <f aca="false">PRODUCT(IF(B131=1,0.8,1-0.8),IF(A131=1,0.8,1-0.8),
          IF(C131=1,0.8,1-0.8),
          IF(D131=1,0.8,1-0.8),
          IF(E131=1,0.8,1-0.8),
          IF(F131=1,0.8,1-0.8),
          IF(G131=1,0.8,1-0.8)) * M131</f>
        <v>0.2097152</v>
      </c>
      <c r="L131" s="6" t="n">
        <f aca="false">PRODUCT(IF(B131=1,0.9,1-0.9), IF(A131=1,0.9,1-0.9),
          IF(C131=1,0.9,1-0.9),
          IF(D131=1,0.9,1-0.9),
          IF(E131=1,0.9,1-0.9),
          IF(F131=1,0.9,1-0.9),
          IF(G131=1,0.9,1-0.9)) * M131</f>
        <v>0.4782969</v>
      </c>
      <c r="M131" s="2" t="n">
        <f aca="false">IF(C131=1,1,IF(AND(B131=1,A131=1,G131=1,D131=1),1,IF(AND(B131=1,A131=1,F131=1,D131=1,E131=1)
,1,0)))</f>
        <v>1</v>
      </c>
    </row>
    <row r="132" customFormat="false" ht="13.8" hidden="false" customHeight="false" outlineLevel="0" collapsed="false">
      <c r="A132" s="1"/>
      <c r="B132" s="1"/>
      <c r="C132" s="7" t="s">
        <v>6</v>
      </c>
      <c r="D132" s="1"/>
      <c r="E132" s="1"/>
      <c r="F132" s="8" t="s">
        <v>7</v>
      </c>
      <c r="G132" s="1"/>
      <c r="H132" s="7" t="n">
        <f aca="false">SUM(H4:H131)</f>
        <v>0.8029</v>
      </c>
      <c r="I132" s="9" t="n">
        <f aca="false">SUM(I4:I131)</f>
        <v>0.6642816</v>
      </c>
      <c r="J132" s="9" t="n">
        <f aca="false">SUM(J4:J131)</f>
        <v>0.7871563</v>
      </c>
      <c r="K132" s="9" t="n">
        <f aca="false">SUM(K4:K131)</f>
        <v>0.8950272</v>
      </c>
      <c r="L132" s="9" t="n">
        <f aca="false">SUM(L4:L131)</f>
        <v>0.9715149</v>
      </c>
      <c r="M132" s="8" t="n">
        <f aca="false">SUM(M4:M131)</f>
        <v>69</v>
      </c>
    </row>
  </sheetData>
  <mergeCells count="2">
    <mergeCell ref="A1:F1"/>
    <mergeCell ref="I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2025-11-07T15:01:35Z</dcterms:created>
  <dc:creator>Андрей Чепоров</dc:creator>
  <dc:description/>
  <dc:language>en-US</dc:language>
  <cp:lastModifiedBy/>
  <dcterms:modified xsi:type="dcterms:W3CDTF">2025-11-09T20:19:30Z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